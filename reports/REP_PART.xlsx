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105" windowWidth="14805" windowHeight="8010"/>
  </bookViews>
  <sheets>
    <sheet name="report" sheetId="1" r:id="rId1"/>
    <sheet name="data" sheetId="2" r:id="rId2"/>
  </sheets>
  <calcPr calcId="145621"/>
</workbook>
</file>

<file path=xl/calcChain.xml><?xml version="1.0" encoding="utf-8"?>
<calcChain xmlns="http://schemas.openxmlformats.org/spreadsheetml/2006/main">
  <c r="AA33" i="1" l="1"/>
  <c r="Z33" i="1"/>
  <c r="Y33" i="1"/>
  <c r="J33" i="1"/>
  <c r="F33" i="1"/>
  <c r="E33" i="1"/>
  <c r="D33" i="1"/>
  <c r="C33" i="1"/>
  <c r="G33" i="1" s="1"/>
  <c r="B33" i="1"/>
  <c r="AA32" i="1"/>
  <c r="AB32" i="1" s="1"/>
  <c r="Z32" i="1"/>
  <c r="Y32" i="1"/>
  <c r="J32" i="1"/>
  <c r="G32" i="1"/>
  <c r="H32" i="1" s="1"/>
  <c r="F32" i="1"/>
  <c r="E32" i="1"/>
  <c r="D32" i="1"/>
  <c r="C32" i="1"/>
  <c r="B32" i="1"/>
  <c r="AA31" i="1"/>
  <c r="Z31" i="1"/>
  <c r="Y31" i="1"/>
  <c r="J31" i="1"/>
  <c r="F31" i="1"/>
  <c r="E31" i="1"/>
  <c r="D31" i="1"/>
  <c r="G31" i="1" s="1"/>
  <c r="C31" i="1"/>
  <c r="B31" i="1"/>
  <c r="AA30" i="1"/>
  <c r="Z30" i="1"/>
  <c r="Y30" i="1"/>
  <c r="J30" i="1"/>
  <c r="F30" i="1"/>
  <c r="E30" i="1"/>
  <c r="D30" i="1"/>
  <c r="C30" i="1"/>
  <c r="G30" i="1" s="1"/>
  <c r="B30" i="1"/>
  <c r="AA29" i="1"/>
  <c r="Z29" i="1"/>
  <c r="Y29" i="1"/>
  <c r="J29" i="1"/>
  <c r="F29" i="1"/>
  <c r="E29" i="1"/>
  <c r="D29" i="1"/>
  <c r="C29" i="1"/>
  <c r="G29" i="1" s="1"/>
  <c r="B29" i="1"/>
  <c r="AA28" i="1"/>
  <c r="Z28" i="1"/>
  <c r="Y28" i="1"/>
  <c r="J28" i="1"/>
  <c r="G28" i="1"/>
  <c r="H28" i="1" s="1"/>
  <c r="F28" i="1"/>
  <c r="E28" i="1"/>
  <c r="D28" i="1"/>
  <c r="C28" i="1"/>
  <c r="B28" i="1"/>
  <c r="AA27" i="1"/>
  <c r="Z27" i="1"/>
  <c r="Y27" i="1"/>
  <c r="J27" i="1"/>
  <c r="F27" i="1"/>
  <c r="E27" i="1"/>
  <c r="D27" i="1"/>
  <c r="G27" i="1" s="1"/>
  <c r="C27" i="1"/>
  <c r="B27" i="1"/>
  <c r="AA26" i="1"/>
  <c r="Z26" i="1"/>
  <c r="Y26" i="1"/>
  <c r="J26" i="1"/>
  <c r="F26" i="1"/>
  <c r="E26" i="1"/>
  <c r="D26" i="1"/>
  <c r="C26" i="1"/>
  <c r="G26" i="1" s="1"/>
  <c r="B26" i="1"/>
  <c r="AA25" i="1"/>
  <c r="Z25" i="1"/>
  <c r="Y25" i="1"/>
  <c r="J25" i="1"/>
  <c r="F25" i="1"/>
  <c r="E25" i="1"/>
  <c r="D25" i="1"/>
  <c r="C25" i="1"/>
  <c r="G25" i="1" s="1"/>
  <c r="B25" i="1"/>
  <c r="AA24" i="1"/>
  <c r="Z24" i="1"/>
  <c r="Y24" i="1"/>
  <c r="J24" i="1"/>
  <c r="G24" i="1"/>
  <c r="H24" i="1" s="1"/>
  <c r="F24" i="1"/>
  <c r="E24" i="1"/>
  <c r="D24" i="1"/>
  <c r="C24" i="1"/>
  <c r="B24" i="1"/>
  <c r="AA20" i="1"/>
  <c r="Z20" i="1"/>
  <c r="Y20" i="1"/>
  <c r="J20" i="1"/>
  <c r="G20" i="1"/>
  <c r="AB20" i="1" s="1"/>
  <c r="F20" i="1"/>
  <c r="E20" i="1"/>
  <c r="D20" i="1"/>
  <c r="C20" i="1"/>
  <c r="B20" i="1"/>
  <c r="AA19" i="1"/>
  <c r="Z19" i="1"/>
  <c r="Y19" i="1"/>
  <c r="J19" i="1"/>
  <c r="F19" i="1"/>
  <c r="E19" i="1"/>
  <c r="D19" i="1"/>
  <c r="C19" i="1"/>
  <c r="G19" i="1" s="1"/>
  <c r="B19" i="1"/>
  <c r="AA18" i="1"/>
  <c r="Z18" i="1"/>
  <c r="Y18" i="1"/>
  <c r="J18" i="1"/>
  <c r="F18" i="1"/>
  <c r="E18" i="1"/>
  <c r="D18" i="1"/>
  <c r="C18" i="1"/>
  <c r="G18" i="1" s="1"/>
  <c r="B18" i="1"/>
  <c r="AA17" i="1"/>
  <c r="Z17" i="1"/>
  <c r="Y17" i="1"/>
  <c r="J17" i="1"/>
  <c r="G17" i="1"/>
  <c r="H17" i="1" s="1"/>
  <c r="F17" i="1"/>
  <c r="E17" i="1"/>
  <c r="D17" i="1"/>
  <c r="C17" i="1"/>
  <c r="B17" i="1"/>
  <c r="AA16" i="1"/>
  <c r="Z16" i="1"/>
  <c r="Y16" i="1"/>
  <c r="J16" i="1"/>
  <c r="G16" i="1"/>
  <c r="H16" i="1" s="1"/>
  <c r="F16" i="1"/>
  <c r="E16" i="1"/>
  <c r="D16" i="1"/>
  <c r="C16" i="1"/>
  <c r="B16" i="1"/>
  <c r="AA15" i="1"/>
  <c r="Z15" i="1"/>
  <c r="Y15" i="1"/>
  <c r="J15" i="1"/>
  <c r="F15" i="1"/>
  <c r="E15" i="1"/>
  <c r="D15" i="1"/>
  <c r="C15" i="1"/>
  <c r="G15" i="1" s="1"/>
  <c r="B15" i="1"/>
  <c r="AA14" i="1"/>
  <c r="Z14" i="1"/>
  <c r="Y14" i="1"/>
  <c r="J14" i="1"/>
  <c r="F14" i="1"/>
  <c r="E14" i="1"/>
  <c r="D14" i="1"/>
  <c r="C14" i="1"/>
  <c r="G14" i="1" s="1"/>
  <c r="B14" i="1"/>
  <c r="AA13" i="1"/>
  <c r="Z13" i="1"/>
  <c r="Y13" i="1"/>
  <c r="J13" i="1"/>
  <c r="G13" i="1"/>
  <c r="H13" i="1" s="1"/>
  <c r="F13" i="1"/>
  <c r="E13" i="1"/>
  <c r="D13" i="1"/>
  <c r="C13" i="1"/>
  <c r="B13" i="1"/>
  <c r="AA12" i="1"/>
  <c r="Z12" i="1"/>
  <c r="Y12" i="1"/>
  <c r="J12" i="1"/>
  <c r="G12" i="1"/>
  <c r="AB12" i="1" s="1"/>
  <c r="F12" i="1"/>
  <c r="E12" i="1"/>
  <c r="D12" i="1"/>
  <c r="C12" i="1"/>
  <c r="B12" i="1"/>
  <c r="AA11" i="1"/>
  <c r="Z11" i="1"/>
  <c r="Y11" i="1"/>
  <c r="J11" i="1"/>
  <c r="F11" i="1"/>
  <c r="E11" i="1"/>
  <c r="D11" i="1"/>
  <c r="C11" i="1"/>
  <c r="G11" i="1" s="1"/>
  <c r="B11" i="1"/>
  <c r="A8" i="1"/>
  <c r="A21" i="1"/>
  <c r="H18" i="1" l="1"/>
  <c r="AB18" i="1"/>
  <c r="X17" i="1"/>
  <c r="I17" i="1"/>
  <c r="X32" i="1"/>
  <c r="I32" i="1"/>
  <c r="X16" i="1"/>
  <c r="I16" i="1"/>
  <c r="H27" i="1"/>
  <c r="AB27" i="1"/>
  <c r="H15" i="1"/>
  <c r="AB15" i="1"/>
  <c r="I13" i="1"/>
  <c r="X13" i="1"/>
  <c r="H30" i="1"/>
  <c r="AB30" i="1"/>
  <c r="X28" i="1"/>
  <c r="I28" i="1"/>
  <c r="H19" i="1"/>
  <c r="AB19" i="1"/>
  <c r="H14" i="1"/>
  <c r="AB14" i="1"/>
  <c r="H11" i="1"/>
  <c r="AB11" i="1"/>
  <c r="I24" i="1"/>
  <c r="X24" i="1"/>
  <c r="AB33" i="1"/>
  <c r="H33" i="1"/>
  <c r="AB29" i="1"/>
  <c r="H29" i="1"/>
  <c r="AB25" i="1"/>
  <c r="H25" i="1"/>
  <c r="H31" i="1"/>
  <c r="AB31" i="1"/>
  <c r="H26" i="1"/>
  <c r="AB26" i="1"/>
  <c r="AB16" i="1"/>
  <c r="H12" i="1"/>
  <c r="AB28" i="1"/>
  <c r="H20" i="1"/>
  <c r="AB13" i="1"/>
  <c r="AB24" i="1"/>
  <c r="AB17" i="1"/>
  <c r="A2" i="1"/>
  <c r="I11" i="1" l="1"/>
  <c r="X11" i="1"/>
  <c r="X12" i="1"/>
  <c r="I12" i="1"/>
  <c r="X29" i="1"/>
  <c r="I29" i="1"/>
  <c r="X25" i="1"/>
  <c r="I25" i="1"/>
  <c r="I30" i="1"/>
  <c r="X30" i="1"/>
  <c r="I15" i="1"/>
  <c r="X15" i="1"/>
  <c r="X14" i="1"/>
  <c r="I14" i="1"/>
  <c r="I26" i="1"/>
  <c r="X26" i="1"/>
  <c r="X20" i="1"/>
  <c r="I20" i="1"/>
  <c r="I33" i="1"/>
  <c r="X33" i="1"/>
  <c r="X19" i="1"/>
  <c r="I19" i="1"/>
  <c r="X31" i="1"/>
  <c r="I31" i="1"/>
  <c r="X27" i="1"/>
  <c r="I27" i="1"/>
  <c r="X18" i="1"/>
  <c r="I18" i="1"/>
  <c r="L4" i="1"/>
  <c r="I4" i="1"/>
  <c r="E4" i="1"/>
  <c r="C4" i="1"/>
  <c r="L6" i="1" l="1"/>
  <c r="C6" i="1" l="1"/>
</calcChain>
</file>

<file path=xl/sharedStrings.xml><?xml version="1.0" encoding="utf-8"?>
<sst xmlns="http://schemas.openxmlformats.org/spreadsheetml/2006/main" count="346" uniqueCount="106">
  <si>
    <t>Feature Id</t>
  </si>
  <si>
    <t>report_id</t>
  </si>
  <si>
    <t>report_description</t>
  </si>
  <si>
    <t>group_id</t>
  </si>
  <si>
    <t>group_description</t>
  </si>
  <si>
    <t>time</t>
  </si>
  <si>
    <t>part_id</t>
  </si>
  <si>
    <t>part_number</t>
  </si>
  <si>
    <t>feature_id</t>
  </si>
  <si>
    <t>axis</t>
  </si>
  <si>
    <t>on_accuracy</t>
  </si>
  <si>
    <t>device_id</t>
  </si>
  <si>
    <t>group_position</t>
  </si>
  <si>
    <t>feature_position</t>
  </si>
  <si>
    <t>Judge</t>
  </si>
  <si>
    <t>OOT</t>
  </si>
  <si>
    <t>Axis</t>
  </si>
  <si>
    <t>Value</t>
  </si>
  <si>
    <t>Nominal</t>
  </si>
  <si>
    <t>accuracy</t>
  </si>
  <si>
    <t>condition</t>
  </si>
  <si>
    <t>On Accuracy</t>
  </si>
  <si>
    <t>LIE (internal)</t>
  </si>
  <si>
    <t>LSE (internal)</t>
  </si>
  <si>
    <t>Is Rejected</t>
  </si>
  <si>
    <t>NG on Accuracy</t>
  </si>
  <si>
    <t>Date:</t>
  </si>
  <si>
    <t>Time:</t>
  </si>
  <si>
    <t>Part Id:</t>
  </si>
  <si>
    <t>Part Number:</t>
  </si>
  <si>
    <t>Group Image</t>
  </si>
  <si>
    <t>Report image</t>
  </si>
  <si>
    <t>LIE</t>
  </si>
  <si>
    <t>LSE</t>
  </si>
  <si>
    <t>Deviation</t>
  </si>
  <si>
    <t>Description</t>
  </si>
  <si>
    <t>Expr1004</t>
  </si>
  <si>
    <t>value</t>
  </si>
  <si>
    <t>nominal</t>
  </si>
  <si>
    <t>lie_customer</t>
  </si>
  <si>
    <t>lse_customer</t>
  </si>
  <si>
    <t>lie_internal</t>
  </si>
  <si>
    <t>lse_internal</t>
  </si>
  <si>
    <t>feature_description</t>
  </si>
  <si>
    <t>Pos X</t>
  </si>
  <si>
    <t>DEA_TORO</t>
  </si>
  <si>
    <t>Realizó:</t>
  </si>
  <si>
    <t>Revisó:</t>
  </si>
  <si>
    <t>Aprobó:</t>
  </si>
  <si>
    <t>J. Cabrera / M. Gamboa</t>
  </si>
  <si>
    <t>D. Romero / F. Villalba</t>
  </si>
  <si>
    <t>A. Savastejko</t>
  </si>
  <si>
    <t>REP_PART</t>
  </si>
  <si>
    <t>Part Model N - Part Report</t>
  </si>
  <si>
    <t>PART01</t>
  </si>
  <si>
    <t>Upper Sub-Assembly</t>
  </si>
  <si>
    <t>13/06/2026</t>
  </si>
  <si>
    <t>11:26:39</t>
  </si>
  <si>
    <t>X234-44</t>
  </si>
  <si>
    <t>812873</t>
  </si>
  <si>
    <t>PART01_01L_X</t>
  </si>
  <si>
    <t>Upper Part Inboard LH Hole - Pos X</t>
  </si>
  <si>
    <t>True</t>
  </si>
  <si>
    <t>PART01_01L_Y</t>
  </si>
  <si>
    <t>Pos Y</t>
  </si>
  <si>
    <t>Upper Part Inboard LH Hole - Pos Y</t>
  </si>
  <si>
    <t>PART01_01L_Z</t>
  </si>
  <si>
    <t>Pos Z</t>
  </si>
  <si>
    <t>Upper Part Inboard LH Hole - Pos Z</t>
  </si>
  <si>
    <t>PART01_01R_X</t>
  </si>
  <si>
    <t>Upper Part Inboard RH Hole - Pos X</t>
  </si>
  <si>
    <t>PART01_01R_Y</t>
  </si>
  <si>
    <t>Upper Part Inboard RH Hole - Pos Y</t>
  </si>
  <si>
    <t>PART01_01R_Z</t>
  </si>
  <si>
    <t>Upper Part Inboard RH Hole - Pos Z</t>
  </si>
  <si>
    <t>PART01_02R_X</t>
  </si>
  <si>
    <t>Upper Part Outboard RH Hole - Pos X</t>
  </si>
  <si>
    <t>PART01_02R_Y</t>
  </si>
  <si>
    <t>Upper Part Outboard RH Hole - Pos Y</t>
  </si>
  <si>
    <t>PART01_02R_Z</t>
  </si>
  <si>
    <t>Upper Part Outboard RH Hole - Pos Z</t>
  </si>
  <si>
    <t>PART01_P1_Y</t>
  </si>
  <si>
    <t>Dist Y</t>
  </si>
  <si>
    <t>Lower Part - Outboard vs Outboard Holes - W-Pitch</t>
  </si>
  <si>
    <t>PART02</t>
  </si>
  <si>
    <t>Lower Sub-Assembly</t>
  </si>
  <si>
    <t>PART02_01L_X</t>
  </si>
  <si>
    <t>Lower Part Inboard LH Hole - Pos X</t>
  </si>
  <si>
    <t>PART02_01L_Y</t>
  </si>
  <si>
    <t>Lower Part Inboard LH Hole - Pos Y</t>
  </si>
  <si>
    <t>PART02_01L_Z</t>
  </si>
  <si>
    <t>Lower Part Inboard LH Hole - Pos Z</t>
  </si>
  <si>
    <t>PART02_01R_X</t>
  </si>
  <si>
    <t>Lower Part Inboard RH Hole - Pos X</t>
  </si>
  <si>
    <t>PART02_01R_Y</t>
  </si>
  <si>
    <t>Lower Part Inboard RH Hole - Pos Y</t>
  </si>
  <si>
    <t>PART02_01R_Z</t>
  </si>
  <si>
    <t>Lower Part Inboard RH Hole - Pos Z</t>
  </si>
  <si>
    <t>PART02_02R_X</t>
  </si>
  <si>
    <t>Lower Part Outboard Hole - Pos X</t>
  </si>
  <si>
    <t>PART02_02R_Y</t>
  </si>
  <si>
    <t>Lower Part Outboard Hole - Pos Y</t>
  </si>
  <si>
    <t>PART02_02R_Z</t>
  </si>
  <si>
    <t>Lower Part Outboard Hole - Pos Z</t>
  </si>
  <si>
    <t>PART02_P1_Y</t>
  </si>
  <si>
    <t>Lower Part - Inboard vs Outboard Holes - W-Pitch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</si>
</sst>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vertical="center"/>
    </xf>
    <xf numFmtId="164" fontId="0" fillId="0" borderId="0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295275</xdr:rowOff>
    </xdr:from>
    <xdr:to>
      <xdr:col>2</xdr:col>
      <xdr:colOff>38101</xdr:colOff>
      <xdr:row>0</xdr:row>
      <xdr:rowOff>719514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0" r="3790"/>
        <a:stretch/>
      </xdr:blipFill>
      <xdr:spPr>
        <a:xfrm>
          <a:off x="123826" y="295275"/>
          <a:ext cx="1600200" cy="42423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19049</xdr:rowOff>
    </xdr:from>
    <xdr:to>
      <xdr:col>13</xdr:col>
      <xdr:colOff>9525</xdr:colOff>
      <xdr:row>1</xdr:row>
      <xdr:rowOff>9524</xdr:rowOff>
    </xdr:to>
    <xdr:grpSp>
      <xdr:nvGrpSpPr>
        <xdr:cNvPr id="91" name="Group 128"/>
        <xdr:cNvGrpSpPr>
          <a:grpSpLocks noChangeAspect="1"/>
        </xdr:cNvGrpSpPr>
      </xdr:nvGrpSpPr>
      <xdr:grpSpPr bwMode="auto">
        <a:xfrm>
          <a:off x="0" y="19049"/>
          <a:ext cx="11430000" cy="1133475"/>
          <a:chOff x="0" y="1"/>
          <a:chExt cx="1474" cy="132"/>
        </a:xfrm>
      </xdr:grpSpPr>
      <xdr:sp macro="" textlink="">
        <xdr:nvSpPr>
          <xdr:cNvPr id="93" name="Rectangle 129"/>
          <xdr:cNvSpPr>
            <a:spLocks noChangeArrowheads="1"/>
          </xdr:cNvSpPr>
        </xdr:nvSpPr>
        <xdr:spPr bwMode="auto">
          <a:xfrm>
            <a:off x="0" y="114"/>
            <a:ext cx="812" cy="1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" name="Rectangle 130"/>
          <xdr:cNvSpPr>
            <a:spLocks noChangeArrowheads="1"/>
          </xdr:cNvSpPr>
        </xdr:nvSpPr>
        <xdr:spPr bwMode="auto">
          <a:xfrm>
            <a:off x="814" y="12"/>
            <a:ext cx="128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CODIGO METALSA:</a:t>
            </a:r>
          </a:p>
        </xdr:txBody>
      </xdr:sp>
      <xdr:sp macro="" textlink="">
        <xdr:nvSpPr>
          <xdr:cNvPr id="95" name="Rectangle 131"/>
          <xdr:cNvSpPr>
            <a:spLocks noChangeArrowheads="1"/>
          </xdr:cNvSpPr>
        </xdr:nvSpPr>
        <xdr:spPr bwMode="auto">
          <a:xfrm>
            <a:off x="1245" y="12"/>
            <a:ext cx="6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EMISION:</a:t>
            </a:r>
          </a:p>
        </xdr:txBody>
      </xdr:sp>
      <xdr:sp macro="" textlink="">
        <xdr:nvSpPr>
          <xdr:cNvPr id="96" name="Rectangle 132"/>
          <xdr:cNvSpPr>
            <a:spLocks noChangeArrowheads="1"/>
          </xdr:cNvSpPr>
        </xdr:nvSpPr>
        <xdr:spPr bwMode="auto">
          <a:xfrm>
            <a:off x="814" y="49"/>
            <a:ext cx="123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DENOMINACION :  </a:t>
            </a:r>
          </a:p>
        </xdr:txBody>
      </xdr:sp>
      <xdr:sp macro="" textlink="">
        <xdr:nvSpPr>
          <xdr:cNvPr id="97" name="Rectangle 133"/>
          <xdr:cNvSpPr>
            <a:spLocks noChangeArrowheads="1"/>
          </xdr:cNvSpPr>
        </xdr:nvSpPr>
        <xdr:spPr bwMode="auto">
          <a:xfrm>
            <a:off x="1245" y="49"/>
            <a:ext cx="40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REV. :</a:t>
            </a:r>
          </a:p>
        </xdr:txBody>
      </xdr:sp>
      <xdr:sp macro="" textlink="">
        <xdr:nvSpPr>
          <xdr:cNvPr id="98" name="Rectangle 134"/>
          <xdr:cNvSpPr>
            <a:spLocks noChangeArrowheads="1"/>
          </xdr:cNvSpPr>
        </xdr:nvSpPr>
        <xdr:spPr bwMode="auto">
          <a:xfrm>
            <a:off x="814" y="87"/>
            <a:ext cx="73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CLIENTE :  </a:t>
            </a:r>
          </a:p>
        </xdr:txBody>
      </xdr:sp>
      <xdr:sp macro="" textlink="">
        <xdr:nvSpPr>
          <xdr:cNvPr id="99" name="Rectangle 135"/>
          <xdr:cNvSpPr>
            <a:spLocks noChangeArrowheads="1"/>
          </xdr:cNvSpPr>
        </xdr:nvSpPr>
        <xdr:spPr bwMode="auto">
          <a:xfrm>
            <a:off x="1245" y="87"/>
            <a:ext cx="46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HOJA :</a:t>
            </a:r>
          </a:p>
        </xdr:txBody>
      </xdr:sp>
      <xdr:sp macro="" textlink="">
        <xdr:nvSpPr>
          <xdr:cNvPr id="100" name="Rectangle 136"/>
          <xdr:cNvSpPr>
            <a:spLocks noChangeArrowheads="1"/>
          </xdr:cNvSpPr>
        </xdr:nvSpPr>
        <xdr:spPr bwMode="auto">
          <a:xfrm>
            <a:off x="989" y="116"/>
            <a:ext cx="315" cy="1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 Rounded MT Bold"/>
              </a:rPr>
              <a:t>ESTA REVISION ANULA Y REEMPLAZA A TODA ANTERIOR</a:t>
            </a:r>
          </a:p>
        </xdr:txBody>
      </xdr:sp>
      <xdr:sp macro="" textlink="">
        <xdr:nvSpPr>
          <xdr:cNvPr id="101" name="Rectangle 137"/>
          <xdr:cNvSpPr>
            <a:spLocks noChangeArrowheads="1"/>
          </xdr:cNvSpPr>
        </xdr:nvSpPr>
        <xdr:spPr bwMode="auto">
          <a:xfrm>
            <a:off x="968" y="100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" name="Rectangle 138"/>
          <xdr:cNvSpPr>
            <a:spLocks noChangeArrowheads="1"/>
          </xdr:cNvSpPr>
        </xdr:nvSpPr>
        <xdr:spPr bwMode="auto">
          <a:xfrm>
            <a:off x="968" y="25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" name="Rectangle 139"/>
          <xdr:cNvSpPr>
            <a:spLocks noChangeArrowheads="1"/>
          </xdr:cNvSpPr>
        </xdr:nvSpPr>
        <xdr:spPr bwMode="auto">
          <a:xfrm>
            <a:off x="1322" y="25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" name="Rectangle 140"/>
          <xdr:cNvSpPr>
            <a:spLocks noChangeArrowheads="1"/>
          </xdr:cNvSpPr>
        </xdr:nvSpPr>
        <xdr:spPr bwMode="auto">
          <a:xfrm>
            <a:off x="1322" y="63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" name="Rectangle 141"/>
          <xdr:cNvSpPr>
            <a:spLocks noChangeArrowheads="1"/>
          </xdr:cNvSpPr>
        </xdr:nvSpPr>
        <xdr:spPr bwMode="auto">
          <a:xfrm>
            <a:off x="1322" y="100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" name="Rectangle 142"/>
          <xdr:cNvSpPr>
            <a:spLocks noChangeArrowheads="1"/>
          </xdr:cNvSpPr>
        </xdr:nvSpPr>
        <xdr:spPr bwMode="auto">
          <a:xfrm>
            <a:off x="968" y="63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" name="Rectangle 143"/>
          <xdr:cNvSpPr>
            <a:spLocks noChangeArrowheads="1"/>
          </xdr:cNvSpPr>
        </xdr:nvSpPr>
        <xdr:spPr bwMode="auto">
          <a:xfrm>
            <a:off x="3" y="101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" name="Rectangle 144"/>
          <xdr:cNvSpPr>
            <a:spLocks noChangeArrowheads="1"/>
          </xdr:cNvSpPr>
        </xdr:nvSpPr>
        <xdr:spPr bwMode="auto">
          <a:xfrm>
            <a:off x="357" y="40"/>
            <a:ext cx="339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23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HOJA DE INSPECCION</a:t>
            </a:r>
          </a:p>
        </xdr:txBody>
      </xdr:sp>
      <xdr:sp macro="" textlink="">
        <xdr:nvSpPr>
          <xdr:cNvPr id="109" name="Rectangle 145"/>
          <xdr:cNvSpPr>
            <a:spLocks noChangeArrowheads="1"/>
          </xdr:cNvSpPr>
        </xdr:nvSpPr>
        <xdr:spPr bwMode="auto">
          <a:xfrm>
            <a:off x="147" y="116"/>
            <a:ext cx="533" cy="1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 Rounded MT Bold"/>
              </a:rPr>
              <a:t>                        CUALQUIER ALTERACION DEBE NOTIFICARSE PREVIAMENTE AL DPTO. DE CALIDAD</a:t>
            </a:r>
          </a:p>
        </xdr:txBody>
      </xdr:sp>
      <xdr:sp macro="" textlink="">
        <xdr:nvSpPr>
          <xdr:cNvPr id="111" name="Rectangle 147"/>
          <xdr:cNvSpPr>
            <a:spLocks noChangeArrowheads="1"/>
          </xdr:cNvSpPr>
        </xdr:nvSpPr>
        <xdr:spPr bwMode="auto">
          <a:xfrm>
            <a:off x="233" y="1"/>
            <a:ext cx="1" cy="1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" name="Rectangle 148"/>
          <xdr:cNvSpPr>
            <a:spLocks noChangeArrowheads="1"/>
          </xdr:cNvSpPr>
        </xdr:nvSpPr>
        <xdr:spPr bwMode="auto">
          <a:xfrm>
            <a:off x="810" y="1"/>
            <a:ext cx="2" cy="13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" name="Rectangle 149"/>
          <xdr:cNvSpPr>
            <a:spLocks noChangeArrowheads="1"/>
          </xdr:cNvSpPr>
        </xdr:nvSpPr>
        <xdr:spPr bwMode="auto">
          <a:xfrm>
            <a:off x="1241" y="1"/>
            <a:ext cx="2" cy="1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" name="Rectangle 150"/>
          <xdr:cNvSpPr>
            <a:spLocks noChangeArrowheads="1"/>
          </xdr:cNvSpPr>
        </xdr:nvSpPr>
        <xdr:spPr bwMode="auto">
          <a:xfrm>
            <a:off x="1472" y="1"/>
            <a:ext cx="2" cy="13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" name="Rectangle 152"/>
          <xdr:cNvSpPr>
            <a:spLocks noChangeArrowheads="1"/>
          </xdr:cNvSpPr>
        </xdr:nvSpPr>
        <xdr:spPr bwMode="auto">
          <a:xfrm>
            <a:off x="1" y="113"/>
            <a:ext cx="147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" name="Rectangle 153"/>
          <xdr:cNvSpPr>
            <a:spLocks noChangeArrowheads="1"/>
          </xdr:cNvSpPr>
        </xdr:nvSpPr>
        <xdr:spPr bwMode="auto">
          <a:xfrm>
            <a:off x="1" y="130"/>
            <a:ext cx="147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774614</xdr:colOff>
      <xdr:row>4</xdr:row>
      <xdr:rowOff>25400</xdr:rowOff>
    </xdr:from>
    <xdr:to>
      <xdr:col>9</xdr:col>
      <xdr:colOff>1025611</xdr:colOff>
      <xdr:row>4</xdr:row>
      <xdr:rowOff>3784600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1589" y="2368550"/>
          <a:ext cx="4937297" cy="3759200"/>
        </a:xfrm>
        <a:prstGeom prst="rect">
          <a:avLst/>
        </a:prstGeom>
      </xdr:spPr>
    </xdr:pic>
    <xdr:clientData/>
  </xdr:twoCellAnchor>
  <xdr:twoCellAnchor>
    <xdr:from>
      <xdr:col>5</xdr:col>
      <xdr:colOff>2418</xdr:colOff>
      <xdr:row>8</xdr:row>
      <xdr:rowOff>25400</xdr:rowOff>
    </xdr:from>
    <xdr:to>
      <xdr:col>9</xdr:col>
      <xdr:colOff>235708</xdr:colOff>
      <xdr:row>8</xdr:row>
      <xdr:rowOff>2508250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1493" y="10236200"/>
          <a:ext cx="3357490" cy="2482850"/>
        </a:xfrm>
        <a:prstGeom prst="rect">
          <a:avLst/>
        </a:prstGeom>
      </xdr:spPr>
    </xdr:pic>
    <xdr:clientData/>
  </xdr:twoCellAnchor>
  <xdr:twoCellAnchor>
    <xdr:from>
      <xdr:col>5</xdr:col>
      <xdr:colOff>115274</xdr:colOff>
      <xdr:row>21</xdr:row>
      <xdr:rowOff>25400</xdr:rowOff>
    </xdr:from>
    <xdr:to>
      <xdr:col>9</xdr:col>
      <xdr:colOff>122851</xdr:colOff>
      <xdr:row>21</xdr:row>
      <xdr:rowOff>2508250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4349" y="15246350"/>
          <a:ext cx="3131777" cy="2482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39"/>
  <sheetViews>
    <sheetView tabSelected="1" workbookViewId="0">
      <selection sqref="A1:M1"/>
    </sheetView>
  </sheetViews>
  <sheetFormatPr defaultColWidth="11.7109375" defaultRowHeight="15" x14ac:dyDescent="0.25"/>
  <cols>
    <col min="1" max="1" width="13.5703125" style="1" customWidth="1"/>
    <col min="2" max="9" width="11.7109375" style="1"/>
    <col min="10" max="13" width="16" style="1" customWidth="1"/>
    <col min="14" max="14" width="11.7109375" style="2"/>
    <col min="15" max="23" width="11.7109375" style="1"/>
    <col min="24" max="24" width="14.7109375" style="1" bestFit="1" customWidth="1"/>
    <col min="25" max="25" width="11.7109375" style="1"/>
    <col min="26" max="26" width="12.28515625" style="1" bestFit="1" customWidth="1"/>
    <col min="27" max="27" width="12.7109375" style="1" bestFit="1" customWidth="1"/>
    <col min="28" max="16384" width="11.7109375" style="1"/>
  </cols>
  <sheetData>
    <row r="1" spans="1:28" s="3" customFormat="1" ht="90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"/>
    </row>
    <row r="2" spans="1:28" ht="58.5" customHeight="1" x14ac:dyDescent="0.25">
      <c r="A2" s="34" t="str">
        <f>data!B2</f>
        <v>Part Model N - Part Report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28" ht="21" customHeight="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28" x14ac:dyDescent="0.25">
      <c r="A4" s="7"/>
      <c r="B4" s="8" t="s">
        <v>26</v>
      </c>
      <c r="C4" s="9" t="str">
        <f>data!E2</f>
        <v>13/06/2026</v>
      </c>
      <c r="D4" s="8" t="s">
        <v>27</v>
      </c>
      <c r="E4" s="9" t="str">
        <f>data!F2</f>
        <v>11:26:39</v>
      </c>
      <c r="F4" s="8"/>
      <c r="G4" s="8"/>
      <c r="H4" s="8" t="s">
        <v>28</v>
      </c>
      <c r="I4" s="9" t="str">
        <f>data!G2</f>
        <v>X234-44</v>
      </c>
      <c r="J4" s="8"/>
      <c r="K4" s="8" t="s">
        <v>29</v>
      </c>
      <c r="L4" s="9" t="str">
        <f>data!H2</f>
        <v>812873</v>
      </c>
      <c r="M4" s="10"/>
    </row>
    <row r="5" spans="1:28" ht="300" customHeight="1" x14ac:dyDescent="0.25">
      <c r="A5" s="30" t="s">
        <v>31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</row>
    <row r="6" spans="1:28" x14ac:dyDescent="0.25">
      <c r="A6" s="4"/>
      <c r="B6" s="5" t="s">
        <v>19</v>
      </c>
      <c r="C6" s="11">
        <f>(COUNTIF(Y:Y,"=TRUE*")-COUNTIF(X:X,"=TRUE")) / COUNTIF(Y:Y,"=TRUE*")</f>
        <v>1</v>
      </c>
      <c r="D6" s="5"/>
      <c r="E6" s="5"/>
      <c r="F6" s="5"/>
      <c r="G6" s="5"/>
      <c r="H6" s="5"/>
      <c r="I6" s="5"/>
      <c r="J6" s="5"/>
      <c r="K6" s="5" t="s">
        <v>20</v>
      </c>
      <c r="L6" s="5">
        <f>IF(COUNTIF(AB:AB,"=TRUE")&gt;0,1,0)</f>
        <v>0</v>
      </c>
      <c r="M6" s="6"/>
    </row>
    <row r="7" spans="1:28" x14ac:dyDescent="0.25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4"/>
    </row>
    <row r="8" spans="1:28" s="3" customFormat="1" ht="30" customHeight="1" x14ac:dyDescent="0.25">
      <c r="A8" s="27" t="str">
        <f ca="1">INDEX(data!D:D,MATCH(OFFSET(INDIRECT("RC",FALSE),3,0),data!I:I,0))</f>
        <v>Upper Sub-Assembly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9"/>
      <c r="N8" s="2"/>
    </row>
    <row r="9" spans="1:28" s="3" customFormat="1" ht="200.1" customHeight="1" x14ac:dyDescent="0.25">
      <c r="A9" s="30" t="s">
        <v>30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2"/>
      <c r="N9" s="2"/>
    </row>
    <row r="10" spans="1:28" s="3" customFormat="1" x14ac:dyDescent="0.25">
      <c r="A10" s="17" t="s">
        <v>0</v>
      </c>
      <c r="B10" s="17" t="s">
        <v>16</v>
      </c>
      <c r="C10" s="17" t="s">
        <v>17</v>
      </c>
      <c r="D10" s="17" t="s">
        <v>18</v>
      </c>
      <c r="E10" s="17" t="s">
        <v>32</v>
      </c>
      <c r="F10" s="17" t="s">
        <v>33</v>
      </c>
      <c r="G10" s="17" t="s">
        <v>34</v>
      </c>
      <c r="H10" s="17" t="s">
        <v>14</v>
      </c>
      <c r="I10" s="17" t="s">
        <v>15</v>
      </c>
      <c r="J10" s="33" t="s">
        <v>35</v>
      </c>
      <c r="K10" s="33"/>
      <c r="L10" s="33"/>
      <c r="M10" s="33"/>
      <c r="N10" s="2"/>
      <c r="X10" s="3" t="s">
        <v>25</v>
      </c>
      <c r="Y10" s="3" t="s">
        <v>21</v>
      </c>
      <c r="Z10" s="3" t="s">
        <v>22</v>
      </c>
      <c r="AA10" s="3" t="s">
        <v>23</v>
      </c>
      <c r="AB10" s="3" t="s">
        <v>24</v>
      </c>
    </row>
    <row r="11" spans="1:28" s="3" customFormat="1" x14ac:dyDescent="0.25">
      <c r="A11" s="17" t="s">
        <v>60</v>
      </c>
      <c r="B11" s="17" t="str">
        <f>VLOOKUP(A11,data!I:S,2,FALSE)</f>
        <v>Pos X</v>
      </c>
      <c r="C11" s="15">
        <f>TRUNC(VLOOKUP(A11,data!I:S,3,FALSE),1)</f>
        <v>226.9</v>
      </c>
      <c r="D11" s="15">
        <f>TRUNC(VLOOKUP(A11,data!I:S,4,FALSE),1)</f>
        <v>226.2</v>
      </c>
      <c r="E11" s="15">
        <f>VLOOKUP(A11,data!I:S,5,FALSE)</f>
        <v>-3</v>
      </c>
      <c r="F11" s="15">
        <f>VLOOKUP(A11,data!I:S,6,FALSE)</f>
        <v>3</v>
      </c>
      <c r="G11" s="17">
        <f>C11-D11</f>
        <v>0.70000000000001705</v>
      </c>
      <c r="H11" s="17">
        <f>IF(OR(G11&lt;E11,G11&gt;F11),1,0)</f>
        <v>0</v>
      </c>
      <c r="I11" s="15" t="str">
        <f>IF(H11=1,IF(G11&lt;E11,G11-E11,G11-F11),"")</f>
        <v/>
      </c>
      <c r="J11" s="33" t="str">
        <f>VLOOKUP(A11,data!I:S,9,FALSE)</f>
        <v>Upper Part Inboard LH Hole - Pos X</v>
      </c>
      <c r="K11" s="33"/>
      <c r="L11" s="33"/>
      <c r="M11" s="33"/>
      <c r="N11" s="2"/>
      <c r="X11" s="3" t="str">
        <f>IF(AND(H11=1,Y11="TRUE"),TRUE,"")</f>
        <v/>
      </c>
      <c r="Y11" s="3" t="str">
        <f>VLOOKUP(A11,data!I:S,10,FALSE)</f>
        <v>True</v>
      </c>
      <c r="Z11" s="3">
        <f>VLOOKUP(A11,data!I:S,7,FALSE)</f>
        <v>-4.5</v>
      </c>
      <c r="AA11" s="3">
        <f>VLOOKUP(A11,data!I:S,8,FALSE)</f>
        <v>4.5</v>
      </c>
      <c r="AB11" s="3" t="b">
        <f>IF(OR(G11&lt;Z11,G11&gt;AA11),TRUE,FALSE)</f>
        <v>0</v>
      </c>
    </row>
    <row r="12" spans="1:28" s="3" customFormat="1" x14ac:dyDescent="0.25">
      <c r="A12" s="17" t="s">
        <v>63</v>
      </c>
      <c r="B12" s="17" t="str">
        <f>VLOOKUP(A12,data!I:S,2,FALSE)</f>
        <v>Pos Y</v>
      </c>
      <c r="C12" s="15">
        <f>TRUNC(VLOOKUP(A12,data!I:S,3,FALSE),1)</f>
        <v>-328.2</v>
      </c>
      <c r="D12" s="15">
        <f>TRUNC(VLOOKUP(A12,data!I:S,4,FALSE),1)</f>
        <v>-326</v>
      </c>
      <c r="E12" s="15">
        <f>VLOOKUP(A12,data!I:S,5,FALSE)</f>
        <v>-3</v>
      </c>
      <c r="F12" s="15">
        <f>VLOOKUP(A12,data!I:S,6,FALSE)</f>
        <v>3</v>
      </c>
      <c r="G12" s="17">
        <f>C12-D12</f>
        <v>-2.1999999999999886</v>
      </c>
      <c r="H12" s="17">
        <f>IF(OR(G12&lt;E12,G12&gt;F12),1,0)</f>
        <v>0</v>
      </c>
      <c r="I12" s="15" t="str">
        <f>IF(H12=1,IF(G12&lt;E12,G12-E12,G12-F12),"")</f>
        <v/>
      </c>
      <c r="J12" s="33" t="str">
        <f>VLOOKUP(A12,data!I:S,9,FALSE)</f>
        <v>Upper Part Inboard LH Hole - Pos Y</v>
      </c>
      <c r="K12" s="33"/>
      <c r="L12" s="33"/>
      <c r="M12" s="33"/>
      <c r="N12" s="2"/>
      <c r="X12" s="3" t="str">
        <f>IF(AND(H12=1,Y12="TRUE"),TRUE,"")</f>
        <v/>
      </c>
      <c r="Y12" s="3" t="str">
        <f>VLOOKUP(A12,data!I:S,10,FALSE)</f>
        <v>True</v>
      </c>
      <c r="Z12" s="3">
        <f>VLOOKUP(A12,data!I:S,7,FALSE)</f>
        <v>-4.5</v>
      </c>
      <c r="AA12" s="3">
        <f>VLOOKUP(A12,data!I:S,8,FALSE)</f>
        <v>4.5</v>
      </c>
      <c r="AB12" s="3" t="b">
        <f>IF(OR(G12&lt;Z12,G12&gt;AA12),TRUE,FALSE)</f>
        <v>0</v>
      </c>
    </row>
    <row r="13" spans="1:28" s="3" customFormat="1" x14ac:dyDescent="0.25">
      <c r="A13" s="17" t="s">
        <v>66</v>
      </c>
      <c r="B13" s="17" t="str">
        <f>VLOOKUP(A13,data!I:S,2,FALSE)</f>
        <v>Pos Z</v>
      </c>
      <c r="C13" s="15">
        <f>TRUNC(VLOOKUP(A13,data!I:S,3,FALSE),1)</f>
        <v>989.9</v>
      </c>
      <c r="D13" s="15">
        <f>TRUNC(VLOOKUP(A13,data!I:S,4,FALSE),1)</f>
        <v>990.2</v>
      </c>
      <c r="E13" s="15">
        <f>VLOOKUP(A13,data!I:S,5,FALSE)</f>
        <v>-3</v>
      </c>
      <c r="F13" s="15">
        <f>VLOOKUP(A13,data!I:S,6,FALSE)</f>
        <v>3</v>
      </c>
      <c r="G13" s="17">
        <f>C13-D13</f>
        <v>-0.30000000000006821</v>
      </c>
      <c r="H13" s="17">
        <f>IF(OR(G13&lt;E13,G13&gt;F13),1,0)</f>
        <v>0</v>
      </c>
      <c r="I13" s="15" t="str">
        <f>IF(H13=1,IF(G13&lt;E13,G13-E13,G13-F13),"")</f>
        <v/>
      </c>
      <c r="J13" s="33" t="str">
        <f>VLOOKUP(A13,data!I:S,9,FALSE)</f>
        <v>Upper Part Inboard LH Hole - Pos Z</v>
      </c>
      <c r="K13" s="33"/>
      <c r="L13" s="33"/>
      <c r="M13" s="33"/>
      <c r="N13" s="2"/>
      <c r="X13" s="3" t="str">
        <f>IF(AND(H13=1,Y13="TRUE"),TRUE,"")</f>
        <v/>
      </c>
      <c r="Y13" s="3" t="str">
        <f>VLOOKUP(A13,data!I:S,10,FALSE)</f>
        <v>True</v>
      </c>
      <c r="Z13" s="3">
        <f>VLOOKUP(A13,data!I:S,7,FALSE)</f>
        <v>-4.5</v>
      </c>
      <c r="AA13" s="3">
        <f>VLOOKUP(A13,data!I:S,8,FALSE)</f>
        <v>4.5</v>
      </c>
      <c r="AB13" s="3" t="b">
        <f>IF(OR(G13&lt;Z13,G13&gt;AA13),TRUE,FALSE)</f>
        <v>0</v>
      </c>
    </row>
    <row r="14" spans="1:28" s="3" customFormat="1" x14ac:dyDescent="0.25">
      <c r="A14" s="17" t="s">
        <v>69</v>
      </c>
      <c r="B14" s="17" t="str">
        <f>VLOOKUP(A14,data!I:S,2,FALSE)</f>
        <v>Pos X</v>
      </c>
      <c r="C14" s="15">
        <f>TRUNC(VLOOKUP(A14,data!I:S,3,FALSE),1)</f>
        <v>226.4</v>
      </c>
      <c r="D14" s="15">
        <f>TRUNC(VLOOKUP(A14,data!I:S,4,FALSE),1)</f>
        <v>226.2</v>
      </c>
      <c r="E14" s="15">
        <f>VLOOKUP(A14,data!I:S,5,FALSE)</f>
        <v>-3</v>
      </c>
      <c r="F14" s="15">
        <f>VLOOKUP(A14,data!I:S,6,FALSE)</f>
        <v>3</v>
      </c>
      <c r="G14" s="17">
        <f>C14-D14</f>
        <v>0.20000000000001705</v>
      </c>
      <c r="H14" s="17">
        <f>IF(OR(G14&lt;E14,G14&gt;F14),1,0)</f>
        <v>0</v>
      </c>
      <c r="I14" s="15" t="str">
        <f>IF(H14=1,IF(G14&lt;E14,G14-E14,G14-F14),"")</f>
        <v/>
      </c>
      <c r="J14" s="33" t="str">
        <f>VLOOKUP(A14,data!I:S,9,FALSE)</f>
        <v>Upper Part Inboard RH Hole - Pos X</v>
      </c>
      <c r="K14" s="33"/>
      <c r="L14" s="33"/>
      <c r="M14" s="33"/>
      <c r="N14" s="2"/>
      <c r="X14" s="3" t="str">
        <f>IF(AND(H14=1,Y14="TRUE"),TRUE,"")</f>
        <v/>
      </c>
      <c r="Y14" s="3" t="str">
        <f>VLOOKUP(A14,data!I:S,10,FALSE)</f>
        <v>True</v>
      </c>
      <c r="Z14" s="3">
        <f>VLOOKUP(A14,data!I:S,7,FALSE)</f>
        <v>-4.5</v>
      </c>
      <c r="AA14" s="3">
        <f>VLOOKUP(A14,data!I:S,8,FALSE)</f>
        <v>4.5</v>
      </c>
      <c r="AB14" s="3" t="b">
        <f>IF(OR(G14&lt;Z14,G14&gt;AA14),TRUE,FALSE)</f>
        <v>0</v>
      </c>
    </row>
    <row r="15" spans="1:28" s="3" customFormat="1" x14ac:dyDescent="0.25">
      <c r="A15" s="17" t="s">
        <v>71</v>
      </c>
      <c r="B15" s="17" t="str">
        <f>VLOOKUP(A15,data!I:S,2,FALSE)</f>
        <v>Pos Y</v>
      </c>
      <c r="C15" s="15">
        <f>TRUNC(VLOOKUP(A15,data!I:S,3,FALSE),1)</f>
        <v>326.7</v>
      </c>
      <c r="D15" s="15">
        <f>TRUNC(VLOOKUP(A15,data!I:S,4,FALSE),1)</f>
        <v>326</v>
      </c>
      <c r="E15" s="15">
        <f>VLOOKUP(A15,data!I:S,5,FALSE)</f>
        <v>-3</v>
      </c>
      <c r="F15" s="15">
        <f>VLOOKUP(A15,data!I:S,6,FALSE)</f>
        <v>3</v>
      </c>
      <c r="G15" s="17">
        <f>C15-D15</f>
        <v>0.69999999999998863</v>
      </c>
      <c r="H15" s="17">
        <f>IF(OR(G15&lt;E15,G15&gt;F15),1,0)</f>
        <v>0</v>
      </c>
      <c r="I15" s="15" t="str">
        <f>IF(H15=1,IF(G15&lt;E15,G15-E15,G15-F15),"")</f>
        <v/>
      </c>
      <c r="J15" s="33" t="str">
        <f>VLOOKUP(A15,data!I:S,9,FALSE)</f>
        <v>Upper Part Inboard RH Hole - Pos Y</v>
      </c>
      <c r="K15" s="33"/>
      <c r="L15" s="33"/>
      <c r="M15" s="33"/>
      <c r="N15" s="2"/>
      <c r="X15" s="3" t="str">
        <f>IF(AND(H15=1,Y15="TRUE"),TRUE,"")</f>
        <v/>
      </c>
      <c r="Y15" s="3" t="str">
        <f>VLOOKUP(A15,data!I:S,10,FALSE)</f>
        <v>True</v>
      </c>
      <c r="Z15" s="3">
        <f>VLOOKUP(A15,data!I:S,7,FALSE)</f>
        <v>-4.5</v>
      </c>
      <c r="AA15" s="3">
        <f>VLOOKUP(A15,data!I:S,8,FALSE)</f>
        <v>4.5</v>
      </c>
      <c r="AB15" s="3" t="b">
        <f>IF(OR(G15&lt;Z15,G15&gt;AA15),TRUE,FALSE)</f>
        <v>0</v>
      </c>
    </row>
    <row r="16" spans="1:28" s="3" customFormat="1" x14ac:dyDescent="0.25">
      <c r="A16" s="17" t="s">
        <v>73</v>
      </c>
      <c r="B16" s="17" t="str">
        <f>VLOOKUP(A16,data!I:S,2,FALSE)</f>
        <v>Pos Z</v>
      </c>
      <c r="C16" s="15">
        <f>TRUNC(VLOOKUP(A16,data!I:S,3,FALSE),1)</f>
        <v>989.2</v>
      </c>
      <c r="D16" s="15">
        <f>TRUNC(VLOOKUP(A16,data!I:S,4,FALSE),1)</f>
        <v>990.2</v>
      </c>
      <c r="E16" s="15">
        <f>VLOOKUP(A16,data!I:S,5,FALSE)</f>
        <v>-3</v>
      </c>
      <c r="F16" s="15">
        <f>VLOOKUP(A16,data!I:S,6,FALSE)</f>
        <v>3</v>
      </c>
      <c r="G16" s="17">
        <f>C16-D16</f>
        <v>-1</v>
      </c>
      <c r="H16" s="17">
        <f>IF(OR(G16&lt;E16,G16&gt;F16),1,0)</f>
        <v>0</v>
      </c>
      <c r="I16" s="15" t="str">
        <f>IF(H16=1,IF(G16&lt;E16,G16-E16,G16-F16),"")</f>
        <v/>
      </c>
      <c r="J16" s="33" t="str">
        <f>VLOOKUP(A16,data!I:S,9,FALSE)</f>
        <v>Upper Part Inboard RH Hole - Pos Z</v>
      </c>
      <c r="K16" s="33"/>
      <c r="L16" s="33"/>
      <c r="M16" s="33"/>
      <c r="N16" s="2"/>
      <c r="X16" s="3" t="str">
        <f>IF(AND(H16=1,Y16="TRUE"),TRUE,"")</f>
        <v/>
      </c>
      <c r="Y16" s="3" t="str">
        <f>VLOOKUP(A16,data!I:S,10,FALSE)</f>
        <v>True</v>
      </c>
      <c r="Z16" s="3">
        <f>VLOOKUP(A16,data!I:S,7,FALSE)</f>
        <v>-4.5</v>
      </c>
      <c r="AA16" s="3">
        <f>VLOOKUP(A16,data!I:S,8,FALSE)</f>
        <v>4.5</v>
      </c>
      <c r="AB16" s="3" t="b">
        <f>IF(OR(G16&lt;Z16,G16&gt;AA16),TRUE,FALSE)</f>
        <v>0</v>
      </c>
    </row>
    <row r="17" spans="1:28" s="3" customFormat="1" x14ac:dyDescent="0.25">
      <c r="A17" s="17" t="s">
        <v>75</v>
      </c>
      <c r="B17" s="17" t="str">
        <f>VLOOKUP(A17,data!I:S,2,FALSE)</f>
        <v>Pos X</v>
      </c>
      <c r="C17" s="15">
        <f>TRUNC(VLOOKUP(A17,data!I:S,3,FALSE),1)</f>
        <v>228.9</v>
      </c>
      <c r="D17" s="15">
        <f>TRUNC(VLOOKUP(A17,data!I:S,4,FALSE),1)</f>
        <v>226.2</v>
      </c>
      <c r="E17" s="15">
        <f>VLOOKUP(A17,data!I:S,5,FALSE)</f>
        <v>-3</v>
      </c>
      <c r="F17" s="15">
        <f>VLOOKUP(A17,data!I:S,6,FALSE)</f>
        <v>3</v>
      </c>
      <c r="G17" s="17">
        <f>C17-D17</f>
        <v>2.7000000000000171</v>
      </c>
      <c r="H17" s="17">
        <f>IF(OR(G17&lt;E17,G17&gt;F17),1,0)</f>
        <v>0</v>
      </c>
      <c r="I17" s="15" t="str">
        <f>IF(H17=1,IF(G17&lt;E17,G17-E17,G17-F17),"")</f>
        <v/>
      </c>
      <c r="J17" s="33" t="str">
        <f>VLOOKUP(A17,data!I:S,9,FALSE)</f>
        <v>Upper Part Outboard RH Hole - Pos X</v>
      </c>
      <c r="K17" s="33"/>
      <c r="L17" s="33"/>
      <c r="M17" s="33"/>
      <c r="N17" s="2"/>
      <c r="X17" s="3" t="str">
        <f>IF(AND(H17=1,Y17="TRUE"),TRUE,"")</f>
        <v/>
      </c>
      <c r="Y17" s="3" t="str">
        <f>VLOOKUP(A17,data!I:S,10,FALSE)</f>
        <v>True</v>
      </c>
      <c r="Z17" s="3">
        <f>VLOOKUP(A17,data!I:S,7,FALSE)</f>
        <v>-4.5</v>
      </c>
      <c r="AA17" s="3">
        <f>VLOOKUP(A17,data!I:S,8,FALSE)</f>
        <v>4.5</v>
      </c>
      <c r="AB17" s="3" t="b">
        <f>IF(OR(G17&lt;Z17,G17&gt;AA17),TRUE,FALSE)</f>
        <v>0</v>
      </c>
    </row>
    <row r="18" spans="1:28" s="3" customFormat="1" x14ac:dyDescent="0.25">
      <c r="A18" s="17" t="s">
        <v>77</v>
      </c>
      <c r="B18" s="17" t="str">
        <f>VLOOKUP(A18,data!I:S,2,FALSE)</f>
        <v>Pos Y</v>
      </c>
      <c r="C18" s="15">
        <f>TRUNC(VLOOKUP(A18,data!I:S,3,FALSE),1)</f>
        <v>449.1</v>
      </c>
      <c r="D18" s="15">
        <f>TRUNC(VLOOKUP(A18,data!I:S,4,FALSE),1)</f>
        <v>449</v>
      </c>
      <c r="E18" s="15">
        <f>VLOOKUP(A18,data!I:S,5,FALSE)</f>
        <v>-3</v>
      </c>
      <c r="F18" s="15">
        <f>VLOOKUP(A18,data!I:S,6,FALSE)</f>
        <v>3</v>
      </c>
      <c r="G18" s="17">
        <f>C18-D18</f>
        <v>0.10000000000002274</v>
      </c>
      <c r="H18" s="17">
        <f>IF(OR(G18&lt;E18,G18&gt;F18),1,0)</f>
        <v>0</v>
      </c>
      <c r="I18" s="15" t="str">
        <f>IF(H18=1,IF(G18&lt;E18,G18-E18,G18-F18),"")</f>
        <v/>
      </c>
      <c r="J18" s="33" t="str">
        <f>VLOOKUP(A18,data!I:S,9,FALSE)</f>
        <v>Upper Part Outboard RH Hole - Pos Y</v>
      </c>
      <c r="K18" s="33"/>
      <c r="L18" s="33"/>
      <c r="M18" s="33"/>
      <c r="N18" s="2"/>
      <c r="X18" s="3" t="str">
        <f>IF(AND(H18=1,Y18="TRUE"),TRUE,"")</f>
        <v/>
      </c>
      <c r="Y18" s="3" t="str">
        <f>VLOOKUP(A18,data!I:S,10,FALSE)</f>
        <v>True</v>
      </c>
      <c r="Z18" s="3">
        <f>VLOOKUP(A18,data!I:S,7,FALSE)</f>
        <v>-4.5</v>
      </c>
      <c r="AA18" s="3">
        <f>VLOOKUP(A18,data!I:S,8,FALSE)</f>
        <v>4.5</v>
      </c>
      <c r="AB18" s="3" t="b">
        <f>IF(OR(G18&lt;Z18,G18&gt;AA18),TRUE,FALSE)</f>
        <v>0</v>
      </c>
    </row>
    <row r="19" spans="1:28" s="3" customFormat="1" x14ac:dyDescent="0.25">
      <c r="A19" s="17" t="s">
        <v>79</v>
      </c>
      <c r="B19" s="17" t="str">
        <f>VLOOKUP(A19,data!I:S,2,FALSE)</f>
        <v>Pos Z</v>
      </c>
      <c r="C19" s="15">
        <f>TRUNC(VLOOKUP(A19,data!I:S,3,FALSE),1)</f>
        <v>1051.5</v>
      </c>
      <c r="D19" s="15">
        <f>TRUNC(VLOOKUP(A19,data!I:S,4,FALSE),1)</f>
        <v>1052.3</v>
      </c>
      <c r="E19" s="15">
        <f>VLOOKUP(A19,data!I:S,5,FALSE)</f>
        <v>-3</v>
      </c>
      <c r="F19" s="15">
        <f>VLOOKUP(A19,data!I:S,6,FALSE)</f>
        <v>3</v>
      </c>
      <c r="G19" s="17">
        <f>C19-D19</f>
        <v>-0.79999999999995453</v>
      </c>
      <c r="H19" s="17">
        <f>IF(OR(G19&lt;E19,G19&gt;F19),1,0)</f>
        <v>0</v>
      </c>
      <c r="I19" s="15" t="str">
        <f>IF(H19=1,IF(G19&lt;E19,G19-E19,G19-F19),"")</f>
        <v/>
      </c>
      <c r="J19" s="33" t="str">
        <f>VLOOKUP(A19,data!I:S,9,FALSE)</f>
        <v>Upper Part Outboard RH Hole - Pos Z</v>
      </c>
      <c r="K19" s="33"/>
      <c r="L19" s="33"/>
      <c r="M19" s="33"/>
      <c r="N19" s="2"/>
      <c r="X19" s="3" t="str">
        <f>IF(AND(H19=1,Y19="TRUE"),TRUE,"")</f>
        <v/>
      </c>
      <c r="Y19" s="3" t="str">
        <f>VLOOKUP(A19,data!I:S,10,FALSE)</f>
        <v>True</v>
      </c>
      <c r="Z19" s="3">
        <f>VLOOKUP(A19,data!I:S,7,FALSE)</f>
        <v>-4.5</v>
      </c>
      <c r="AA19" s="3">
        <f>VLOOKUP(A19,data!I:S,8,FALSE)</f>
        <v>4.5</v>
      </c>
      <c r="AB19" s="3" t="b">
        <f>IF(OR(G19&lt;Z19,G19&gt;AA19),TRUE,FALSE)</f>
        <v>0</v>
      </c>
    </row>
    <row r="20" spans="1:28" s="3" customFormat="1" x14ac:dyDescent="0.25">
      <c r="A20" s="17" t="s">
        <v>81</v>
      </c>
      <c r="B20" s="17" t="str">
        <f>VLOOKUP(A20,data!I:S,2,FALSE)</f>
        <v>Dist Y</v>
      </c>
      <c r="C20" s="15">
        <f>TRUNC(VLOOKUP(A20,data!I:S,3,FALSE),1)</f>
        <v>655</v>
      </c>
      <c r="D20" s="15">
        <f>TRUNC(VLOOKUP(A20,data!I:S,4,FALSE),1)</f>
        <v>652</v>
      </c>
      <c r="E20" s="15">
        <f>VLOOKUP(A20,data!I:S,5,FALSE)</f>
        <v>-3</v>
      </c>
      <c r="F20" s="15">
        <f>VLOOKUP(A20,data!I:S,6,FALSE)</f>
        <v>3</v>
      </c>
      <c r="G20" s="17">
        <f>C20-D20</f>
        <v>3</v>
      </c>
      <c r="H20" s="17">
        <f>IF(OR(G20&lt;E20,G20&gt;F20),1,0)</f>
        <v>0</v>
      </c>
      <c r="I20" s="15" t="str">
        <f>IF(H20=1,IF(G20&lt;E20,G20-E20,G20-F20),"")</f>
        <v/>
      </c>
      <c r="J20" s="33" t="str">
        <f>VLOOKUP(A20,data!I:S,9,FALSE)</f>
        <v>Lower Part - Outboard vs Outboard Holes - W-Pitch</v>
      </c>
      <c r="K20" s="33"/>
      <c r="L20" s="33"/>
      <c r="M20" s="33"/>
      <c r="N20" s="2"/>
      <c r="X20" s="3" t="str">
        <f>IF(AND(H20=1,Y20="TRUE"),TRUE,"")</f>
        <v/>
      </c>
      <c r="Y20" s="3" t="str">
        <f>VLOOKUP(A20,data!I:S,10,FALSE)</f>
        <v>True</v>
      </c>
      <c r="Z20" s="3">
        <f>VLOOKUP(A20,data!I:S,7,FALSE)</f>
        <v>-6</v>
      </c>
      <c r="AA20" s="3">
        <f>VLOOKUP(A20,data!I:S,8,FALSE)</f>
        <v>6</v>
      </c>
      <c r="AB20" s="3" t="b">
        <f>IF(OR(G20&lt;Z20,G20&gt;AA20),TRUE,FALSE)</f>
        <v>0</v>
      </c>
    </row>
    <row r="21" spans="1:28" s="3" customFormat="1" ht="30" customHeight="1" x14ac:dyDescent="0.25">
      <c r="A21" s="27" t="str">
        <f ca="1">INDEX(data!D:D,MATCH(OFFSET(INDIRECT("RC",FALSE),3,0),data!I:I,0))</f>
        <v>Lower Sub-Assembly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2"/>
    </row>
    <row r="22" spans="1:28" s="3" customFormat="1" ht="200.1" customHeight="1" x14ac:dyDescent="0.25">
      <c r="A22" s="30" t="s">
        <v>30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/>
      <c r="N22" s="2"/>
    </row>
    <row r="23" spans="1:28" s="3" customFormat="1" x14ac:dyDescent="0.25">
      <c r="A23" s="17" t="s">
        <v>0</v>
      </c>
      <c r="B23" s="17" t="s">
        <v>16</v>
      </c>
      <c r="C23" s="17" t="s">
        <v>17</v>
      </c>
      <c r="D23" s="17" t="s">
        <v>18</v>
      </c>
      <c r="E23" s="17" t="s">
        <v>32</v>
      </c>
      <c r="F23" s="17" t="s">
        <v>33</v>
      </c>
      <c r="G23" s="17" t="s">
        <v>34</v>
      </c>
      <c r="H23" s="17" t="s">
        <v>14</v>
      </c>
      <c r="I23" s="17" t="s">
        <v>15</v>
      </c>
      <c r="J23" s="33" t="s">
        <v>35</v>
      </c>
      <c r="K23" s="33"/>
      <c r="L23" s="33"/>
      <c r="M23" s="33"/>
      <c r="N23" s="2"/>
      <c r="X23" s="3" t="s">
        <v>25</v>
      </c>
      <c r="Y23" s="3" t="s">
        <v>21</v>
      </c>
      <c r="Z23" s="3" t="s">
        <v>22</v>
      </c>
      <c r="AA23" s="3" t="s">
        <v>23</v>
      </c>
      <c r="AB23" s="3" t="s">
        <v>24</v>
      </c>
    </row>
    <row r="24" spans="1:28" s="3" customFormat="1" x14ac:dyDescent="0.25">
      <c r="A24" s="17" t="s">
        <v>86</v>
      </c>
      <c r="B24" s="17" t="str">
        <f>VLOOKUP(A24,data!I:S,2,FALSE)</f>
        <v>Pos X</v>
      </c>
      <c r="C24" s="15">
        <f>TRUNC(VLOOKUP(A24,data!I:S,3,FALSE),1)</f>
        <v>420.4</v>
      </c>
      <c r="D24" s="15">
        <f>TRUNC(VLOOKUP(A24,data!I:S,4,FALSE),1)</f>
        <v>420</v>
      </c>
      <c r="E24" s="15">
        <f>VLOOKUP(A24,data!I:S,5,FALSE)</f>
        <v>-4</v>
      </c>
      <c r="F24" s="15">
        <f>VLOOKUP(A24,data!I:S,6,FALSE)</f>
        <v>4</v>
      </c>
      <c r="G24" s="17">
        <f>C24-D24</f>
        <v>0.39999999999997726</v>
      </c>
      <c r="H24" s="17">
        <f>IF(OR(G24&lt;E24,G24&gt;F24),1,0)</f>
        <v>0</v>
      </c>
      <c r="I24" s="15" t="str">
        <f>IF(H24=1,IF(G24&lt;E24,G24-E24,G24-F24),"")</f>
        <v/>
      </c>
      <c r="J24" s="33" t="str">
        <f>VLOOKUP(A24,data!I:S,9,FALSE)</f>
        <v>Lower Part Inboard LH Hole - Pos X</v>
      </c>
      <c r="K24" s="33"/>
      <c r="L24" s="33"/>
      <c r="M24" s="33"/>
      <c r="N24" s="2"/>
      <c r="X24" s="3" t="str">
        <f>IF(AND(H24=1,Y24="TRUE"),TRUE,"")</f>
        <v/>
      </c>
      <c r="Y24" s="3" t="str">
        <f>VLOOKUP(A24,data!I:S,10,FALSE)</f>
        <v>True</v>
      </c>
      <c r="Z24" s="3">
        <f>VLOOKUP(A24,data!I:S,7,FALSE)</f>
        <v>-8</v>
      </c>
      <c r="AA24" s="3">
        <f>VLOOKUP(A24,data!I:S,8,FALSE)</f>
        <v>8</v>
      </c>
      <c r="AB24" s="3" t="b">
        <f>IF(OR(G24&lt;Z24,G24&gt;AA24),TRUE,FALSE)</f>
        <v>0</v>
      </c>
    </row>
    <row r="25" spans="1:28" s="3" customFormat="1" x14ac:dyDescent="0.25">
      <c r="A25" s="17" t="s">
        <v>88</v>
      </c>
      <c r="B25" s="17" t="str">
        <f>VLOOKUP(A25,data!I:S,2,FALSE)</f>
        <v>Pos Y</v>
      </c>
      <c r="C25" s="15">
        <f>TRUNC(VLOOKUP(A25,data!I:S,3,FALSE),1)</f>
        <v>-461.2</v>
      </c>
      <c r="D25" s="15">
        <f>TRUNC(VLOOKUP(A25,data!I:S,4,FALSE),1)</f>
        <v>-459.6</v>
      </c>
      <c r="E25" s="15">
        <f>VLOOKUP(A25,data!I:S,5,FALSE)</f>
        <v>-4</v>
      </c>
      <c r="F25" s="15">
        <f>VLOOKUP(A25,data!I:S,6,FALSE)</f>
        <v>4</v>
      </c>
      <c r="G25" s="17">
        <f>C25-D25</f>
        <v>-1.5999999999999659</v>
      </c>
      <c r="H25" s="17">
        <f>IF(OR(G25&lt;E25,G25&gt;F25),1,0)</f>
        <v>0</v>
      </c>
      <c r="I25" s="15" t="str">
        <f>IF(H25=1,IF(G25&lt;E25,G25-E25,G25-F25),"")</f>
        <v/>
      </c>
      <c r="J25" s="33" t="str">
        <f>VLOOKUP(A25,data!I:S,9,FALSE)</f>
        <v>Lower Part Inboard LH Hole - Pos Y</v>
      </c>
      <c r="K25" s="33"/>
      <c r="L25" s="33"/>
      <c r="M25" s="33"/>
      <c r="N25" s="2"/>
      <c r="X25" s="3" t="str">
        <f>IF(AND(H25=1,Y25="TRUE"),TRUE,"")</f>
        <v/>
      </c>
      <c r="Y25" s="3" t="str">
        <f>VLOOKUP(A25,data!I:S,10,FALSE)</f>
        <v>True</v>
      </c>
      <c r="Z25" s="3">
        <f>VLOOKUP(A25,data!I:S,7,FALSE)</f>
        <v>-8</v>
      </c>
      <c r="AA25" s="3">
        <f>VLOOKUP(A25,data!I:S,8,FALSE)</f>
        <v>8</v>
      </c>
      <c r="AB25" s="3" t="b">
        <f>IF(OR(G25&lt;Z25,G25&gt;AA25),TRUE,FALSE)</f>
        <v>0</v>
      </c>
    </row>
    <row r="26" spans="1:28" s="3" customFormat="1" x14ac:dyDescent="0.25">
      <c r="A26" s="17" t="s">
        <v>90</v>
      </c>
      <c r="B26" s="17" t="str">
        <f>VLOOKUP(A26,data!I:S,2,FALSE)</f>
        <v>Pos Z</v>
      </c>
      <c r="C26" s="15">
        <f>TRUNC(VLOOKUP(A26,data!I:S,3,FALSE),1)</f>
        <v>1068.7</v>
      </c>
      <c r="D26" s="15">
        <f>TRUNC(VLOOKUP(A26,data!I:S,4,FALSE),1)</f>
        <v>1071.4000000000001</v>
      </c>
      <c r="E26" s="15">
        <f>VLOOKUP(A26,data!I:S,5,FALSE)</f>
        <v>-4</v>
      </c>
      <c r="F26" s="15">
        <f>VLOOKUP(A26,data!I:S,6,FALSE)</f>
        <v>4</v>
      </c>
      <c r="G26" s="17">
        <f>C26-D26</f>
        <v>-2.7000000000000455</v>
      </c>
      <c r="H26" s="17">
        <f>IF(OR(G26&lt;E26,G26&gt;F26),1,0)</f>
        <v>0</v>
      </c>
      <c r="I26" s="15" t="str">
        <f>IF(H26=1,IF(G26&lt;E26,G26-E26,G26-F26),"")</f>
        <v/>
      </c>
      <c r="J26" s="33" t="str">
        <f>VLOOKUP(A26,data!I:S,9,FALSE)</f>
        <v>Lower Part Inboard LH Hole - Pos Z</v>
      </c>
      <c r="K26" s="33"/>
      <c r="L26" s="33"/>
      <c r="M26" s="33"/>
      <c r="N26" s="2"/>
      <c r="X26" s="3" t="str">
        <f>IF(AND(H26=1,Y26="TRUE"),TRUE,"")</f>
        <v/>
      </c>
      <c r="Y26" s="3" t="str">
        <f>VLOOKUP(A26,data!I:S,10,FALSE)</f>
        <v>True</v>
      </c>
      <c r="Z26" s="3">
        <f>VLOOKUP(A26,data!I:S,7,FALSE)</f>
        <v>-8</v>
      </c>
      <c r="AA26" s="3">
        <f>VLOOKUP(A26,data!I:S,8,FALSE)</f>
        <v>8</v>
      </c>
      <c r="AB26" s="3" t="b">
        <f>IF(OR(G26&lt;Z26,G26&gt;AA26),TRUE,FALSE)</f>
        <v>0</v>
      </c>
    </row>
    <row r="27" spans="1:28" s="3" customFormat="1" x14ac:dyDescent="0.25">
      <c r="A27" s="17" t="s">
        <v>92</v>
      </c>
      <c r="B27" s="17" t="str">
        <f>VLOOKUP(A27,data!I:S,2,FALSE)</f>
        <v>Pos X</v>
      </c>
      <c r="C27" s="15">
        <f>TRUNC(VLOOKUP(A27,data!I:S,3,FALSE),1)</f>
        <v>421.5</v>
      </c>
      <c r="D27" s="15">
        <f>TRUNC(VLOOKUP(A27,data!I:S,4,FALSE),1)</f>
        <v>420</v>
      </c>
      <c r="E27" s="15">
        <f>VLOOKUP(A27,data!I:S,5,FALSE)</f>
        <v>-4</v>
      </c>
      <c r="F27" s="15">
        <f>VLOOKUP(A27,data!I:S,6,FALSE)</f>
        <v>4</v>
      </c>
      <c r="G27" s="17">
        <f>C27-D27</f>
        <v>1.5</v>
      </c>
      <c r="H27" s="17">
        <f>IF(OR(G27&lt;E27,G27&gt;F27),1,0)</f>
        <v>0</v>
      </c>
      <c r="I27" s="15" t="str">
        <f>IF(H27=1,IF(G27&lt;E27,G27-E27,G27-F27),"")</f>
        <v/>
      </c>
      <c r="J27" s="33" t="str">
        <f>VLOOKUP(A27,data!I:S,9,FALSE)</f>
        <v>Lower Part Inboard RH Hole - Pos X</v>
      </c>
      <c r="K27" s="33"/>
      <c r="L27" s="33"/>
      <c r="M27" s="33"/>
      <c r="N27" s="2"/>
      <c r="X27" s="3" t="str">
        <f>IF(AND(H27=1,Y27="TRUE"),TRUE,"")</f>
        <v/>
      </c>
      <c r="Y27" s="3" t="str">
        <f>VLOOKUP(A27,data!I:S,10,FALSE)</f>
        <v>True</v>
      </c>
      <c r="Z27" s="3">
        <f>VLOOKUP(A27,data!I:S,7,FALSE)</f>
        <v>-8</v>
      </c>
      <c r="AA27" s="3">
        <f>VLOOKUP(A27,data!I:S,8,FALSE)</f>
        <v>8</v>
      </c>
      <c r="AB27" s="3" t="b">
        <f>IF(OR(G27&lt;Z27,G27&gt;AA27),TRUE,FALSE)</f>
        <v>0</v>
      </c>
    </row>
    <row r="28" spans="1:28" s="3" customFormat="1" x14ac:dyDescent="0.25">
      <c r="A28" s="17" t="s">
        <v>94</v>
      </c>
      <c r="B28" s="17" t="str">
        <f>VLOOKUP(A28,data!I:S,2,FALSE)</f>
        <v>Pos Y</v>
      </c>
      <c r="C28" s="15">
        <f>TRUNC(VLOOKUP(A28,data!I:S,3,FALSE),1)</f>
        <v>459.7</v>
      </c>
      <c r="D28" s="15">
        <f>TRUNC(VLOOKUP(A28,data!I:S,4,FALSE),1)</f>
        <v>459.6</v>
      </c>
      <c r="E28" s="15">
        <f>VLOOKUP(A28,data!I:S,5,FALSE)</f>
        <v>-4</v>
      </c>
      <c r="F28" s="15">
        <f>VLOOKUP(A28,data!I:S,6,FALSE)</f>
        <v>4</v>
      </c>
      <c r="G28" s="17">
        <f>C28-D28</f>
        <v>9.9999999999965894E-2</v>
      </c>
      <c r="H28" s="17">
        <f>IF(OR(G28&lt;E28,G28&gt;F28),1,0)</f>
        <v>0</v>
      </c>
      <c r="I28" s="15" t="str">
        <f>IF(H28=1,IF(G28&lt;E28,G28-E28,G28-F28),"")</f>
        <v/>
      </c>
      <c r="J28" s="33" t="str">
        <f>VLOOKUP(A28,data!I:S,9,FALSE)</f>
        <v>Lower Part Inboard RH Hole - Pos Y</v>
      </c>
      <c r="K28" s="33"/>
      <c r="L28" s="33"/>
      <c r="M28" s="33"/>
      <c r="N28" s="2"/>
      <c r="X28" s="3" t="str">
        <f>IF(AND(H28=1,Y28="TRUE"),TRUE,"")</f>
        <v/>
      </c>
      <c r="Y28" s="3" t="str">
        <f>VLOOKUP(A28,data!I:S,10,FALSE)</f>
        <v>True</v>
      </c>
      <c r="Z28" s="3">
        <f>VLOOKUP(A28,data!I:S,7,FALSE)</f>
        <v>-8</v>
      </c>
      <c r="AA28" s="3">
        <f>VLOOKUP(A28,data!I:S,8,FALSE)</f>
        <v>8</v>
      </c>
      <c r="AB28" s="3" t="b">
        <f>IF(OR(G28&lt;Z28,G28&gt;AA28),TRUE,FALSE)</f>
        <v>0</v>
      </c>
    </row>
    <row r="29" spans="1:28" s="3" customFormat="1" x14ac:dyDescent="0.25">
      <c r="A29" s="17" t="s">
        <v>96</v>
      </c>
      <c r="B29" s="17" t="str">
        <f>VLOOKUP(A29,data!I:S,2,FALSE)</f>
        <v>Pos Z</v>
      </c>
      <c r="C29" s="15">
        <f>TRUNC(VLOOKUP(A29,data!I:S,3,FALSE),1)</f>
        <v>1070.9000000000001</v>
      </c>
      <c r="D29" s="15">
        <f>TRUNC(VLOOKUP(A29,data!I:S,4,FALSE),1)</f>
        <v>1071.4000000000001</v>
      </c>
      <c r="E29" s="15">
        <f>VLOOKUP(A29,data!I:S,5,FALSE)</f>
        <v>-4</v>
      </c>
      <c r="F29" s="15">
        <f>VLOOKUP(A29,data!I:S,6,FALSE)</f>
        <v>4</v>
      </c>
      <c r="G29" s="17">
        <f>C29-D29</f>
        <v>-0.5</v>
      </c>
      <c r="H29" s="17">
        <f>IF(OR(G29&lt;E29,G29&gt;F29),1,0)</f>
        <v>0</v>
      </c>
      <c r="I29" s="15" t="str">
        <f>IF(H29=1,IF(G29&lt;E29,G29-E29,G29-F29),"")</f>
        <v/>
      </c>
      <c r="J29" s="33" t="str">
        <f>VLOOKUP(A29,data!I:S,9,FALSE)</f>
        <v>Lower Part Inboard RH Hole - Pos Z</v>
      </c>
      <c r="K29" s="33"/>
      <c r="L29" s="33"/>
      <c r="M29" s="33"/>
      <c r="N29" s="2"/>
      <c r="X29" s="3" t="str">
        <f>IF(AND(H29=1,Y29="TRUE"),TRUE,"")</f>
        <v/>
      </c>
      <c r="Y29" s="3" t="str">
        <f>VLOOKUP(A29,data!I:S,10,FALSE)</f>
        <v>True</v>
      </c>
      <c r="Z29" s="3">
        <f>VLOOKUP(A29,data!I:S,7,FALSE)</f>
        <v>-8</v>
      </c>
      <c r="AA29" s="3">
        <f>VLOOKUP(A29,data!I:S,8,FALSE)</f>
        <v>8</v>
      </c>
      <c r="AB29" s="3" t="b">
        <f>IF(OR(G29&lt;Z29,G29&gt;AA29),TRUE,FALSE)</f>
        <v>0</v>
      </c>
    </row>
    <row r="30" spans="1:28" s="3" customFormat="1" x14ac:dyDescent="0.25">
      <c r="A30" s="17" t="s">
        <v>98</v>
      </c>
      <c r="B30" s="17" t="str">
        <f>VLOOKUP(A30,data!I:S,2,FALSE)</f>
        <v>Pos X</v>
      </c>
      <c r="C30" s="15">
        <f>TRUNC(VLOOKUP(A30,data!I:S,3,FALSE),1)</f>
        <v>1526.5</v>
      </c>
      <c r="D30" s="15">
        <f>TRUNC(VLOOKUP(A30,data!I:S,4,FALSE),1)</f>
        <v>1527.1</v>
      </c>
      <c r="E30" s="15">
        <f>VLOOKUP(A30,data!I:S,5,FALSE)</f>
        <v>-4</v>
      </c>
      <c r="F30" s="15">
        <f>VLOOKUP(A30,data!I:S,6,FALSE)</f>
        <v>4</v>
      </c>
      <c r="G30" s="17">
        <f>C30-D30</f>
        <v>-0.59999999999990905</v>
      </c>
      <c r="H30" s="17">
        <f>IF(OR(G30&lt;E30,G30&gt;F30),1,0)</f>
        <v>0</v>
      </c>
      <c r="I30" s="15" t="str">
        <f>IF(H30=1,IF(G30&lt;E30,G30-E30,G30-F30),"")</f>
        <v/>
      </c>
      <c r="J30" s="33" t="str">
        <f>VLOOKUP(A30,data!I:S,9,FALSE)</f>
        <v>Lower Part Outboard Hole - Pos X</v>
      </c>
      <c r="K30" s="33"/>
      <c r="L30" s="33"/>
      <c r="M30" s="33"/>
      <c r="N30" s="2"/>
      <c r="X30" s="3" t="str">
        <f>IF(AND(H30=1,Y30="TRUE"),TRUE,"")</f>
        <v/>
      </c>
      <c r="Y30" s="3" t="str">
        <f>VLOOKUP(A30,data!I:S,10,FALSE)</f>
        <v>True</v>
      </c>
      <c r="Z30" s="3">
        <f>VLOOKUP(A30,data!I:S,7,FALSE)</f>
        <v>-8</v>
      </c>
      <c r="AA30" s="3">
        <f>VLOOKUP(A30,data!I:S,8,FALSE)</f>
        <v>8</v>
      </c>
      <c r="AB30" s="3" t="b">
        <f>IF(OR(G30&lt;Z30,G30&gt;AA30),TRUE,FALSE)</f>
        <v>0</v>
      </c>
    </row>
    <row r="31" spans="1:28" s="3" customFormat="1" x14ac:dyDescent="0.25">
      <c r="A31" s="17" t="s">
        <v>100</v>
      </c>
      <c r="B31" s="17" t="str">
        <f>VLOOKUP(A31,data!I:S,2,FALSE)</f>
        <v>Pos Y</v>
      </c>
      <c r="C31" s="15">
        <f>TRUNC(VLOOKUP(A31,data!I:S,3,FALSE),1)</f>
        <v>620.9</v>
      </c>
      <c r="D31" s="15">
        <f>TRUNC(VLOOKUP(A31,data!I:S,4,FALSE),1)</f>
        <v>620.4</v>
      </c>
      <c r="E31" s="15">
        <f>VLOOKUP(A31,data!I:S,5,FALSE)</f>
        <v>-4</v>
      </c>
      <c r="F31" s="15">
        <f>VLOOKUP(A31,data!I:S,6,FALSE)</f>
        <v>4</v>
      </c>
      <c r="G31" s="17">
        <f>C31-D31</f>
        <v>0.5</v>
      </c>
      <c r="H31" s="17">
        <f>IF(OR(G31&lt;E31,G31&gt;F31),1,0)</f>
        <v>0</v>
      </c>
      <c r="I31" s="15" t="str">
        <f>IF(H31=1,IF(G31&lt;E31,G31-E31,G31-F31),"")</f>
        <v/>
      </c>
      <c r="J31" s="33" t="str">
        <f>VLOOKUP(A31,data!I:S,9,FALSE)</f>
        <v>Lower Part Outboard Hole - Pos Y</v>
      </c>
      <c r="K31" s="33"/>
      <c r="L31" s="33"/>
      <c r="M31" s="33"/>
      <c r="N31" s="2"/>
      <c r="X31" s="3" t="str">
        <f>IF(AND(H31=1,Y31="TRUE"),TRUE,"")</f>
        <v/>
      </c>
      <c r="Y31" s="3" t="str">
        <f>VLOOKUP(A31,data!I:S,10,FALSE)</f>
        <v>True</v>
      </c>
      <c r="Z31" s="3">
        <f>VLOOKUP(A31,data!I:S,7,FALSE)</f>
        <v>-8</v>
      </c>
      <c r="AA31" s="3">
        <f>VLOOKUP(A31,data!I:S,8,FALSE)</f>
        <v>8</v>
      </c>
      <c r="AB31" s="3" t="b">
        <f>IF(OR(G31&lt;Z31,G31&gt;AA31),TRUE,FALSE)</f>
        <v>0</v>
      </c>
    </row>
    <row r="32" spans="1:28" s="3" customFormat="1" x14ac:dyDescent="0.25">
      <c r="A32" s="17" t="s">
        <v>102</v>
      </c>
      <c r="B32" s="17" t="str">
        <f>VLOOKUP(A32,data!I:S,2,FALSE)</f>
        <v>Pos Z</v>
      </c>
      <c r="C32" s="15">
        <f>TRUNC(VLOOKUP(A32,data!I:S,3,FALSE),1)</f>
        <v>918.5</v>
      </c>
      <c r="D32" s="15">
        <f>TRUNC(VLOOKUP(A32,data!I:S,4,FALSE),1)</f>
        <v>918</v>
      </c>
      <c r="E32" s="15">
        <f>VLOOKUP(A32,data!I:S,5,FALSE)</f>
        <v>-4</v>
      </c>
      <c r="F32" s="15">
        <f>VLOOKUP(A32,data!I:S,6,FALSE)</f>
        <v>4</v>
      </c>
      <c r="G32" s="17">
        <f>C32-D32</f>
        <v>0.5</v>
      </c>
      <c r="H32" s="17">
        <f>IF(OR(G32&lt;E32,G32&gt;F32),1,0)</f>
        <v>0</v>
      </c>
      <c r="I32" s="15" t="str">
        <f>IF(H32=1,IF(G32&lt;E32,G32-E32,G32-F32),"")</f>
        <v/>
      </c>
      <c r="J32" s="33" t="str">
        <f>VLOOKUP(A32,data!I:S,9,FALSE)</f>
        <v>Lower Part Outboard Hole - Pos Z</v>
      </c>
      <c r="K32" s="33"/>
      <c r="L32" s="33"/>
      <c r="M32" s="33"/>
      <c r="N32" s="2"/>
      <c r="X32" s="3" t="str">
        <f>IF(AND(H32=1,Y32="TRUE"),TRUE,"")</f>
        <v/>
      </c>
      <c r="Y32" s="3" t="str">
        <f>VLOOKUP(A32,data!I:S,10,FALSE)</f>
        <v>True</v>
      </c>
      <c r="Z32" s="3">
        <f>VLOOKUP(A32,data!I:S,7,FALSE)</f>
        <v>-8</v>
      </c>
      <c r="AA32" s="3">
        <f>VLOOKUP(A32,data!I:S,8,FALSE)</f>
        <v>8</v>
      </c>
      <c r="AB32" s="3" t="b">
        <f>IF(OR(G32&lt;Z32,G32&gt;AA32),TRUE,FALSE)</f>
        <v>0</v>
      </c>
    </row>
    <row r="33" spans="1:28" s="3" customFormat="1" x14ac:dyDescent="0.25">
      <c r="A33" s="17" t="s">
        <v>104</v>
      </c>
      <c r="B33" s="17" t="str">
        <f>VLOOKUP(A33,data!I:S,2,FALSE)</f>
        <v>Dist Y</v>
      </c>
      <c r="C33" s="15">
        <f>TRUNC(VLOOKUP(A33,data!I:S,3,FALSE),1)</f>
        <v>921</v>
      </c>
      <c r="D33" s="15">
        <f>TRUNC(VLOOKUP(A33,data!I:S,4,FALSE),1)</f>
        <v>919.2</v>
      </c>
      <c r="E33" s="15">
        <f>VLOOKUP(A33,data!I:S,5,FALSE)</f>
        <v>-4</v>
      </c>
      <c r="F33" s="15">
        <f>VLOOKUP(A33,data!I:S,6,FALSE)</f>
        <v>4</v>
      </c>
      <c r="G33" s="17">
        <f>C33-D33</f>
        <v>1.7999999999999545</v>
      </c>
      <c r="H33" s="17">
        <f>IF(OR(G33&lt;E33,G33&gt;F33),1,0)</f>
        <v>0</v>
      </c>
      <c r="I33" s="15" t="str">
        <f>IF(H33=1,IF(G33&lt;E33,G33-E33,G33-F33),"")</f>
        <v/>
      </c>
      <c r="J33" s="33" t="str">
        <f>VLOOKUP(A33,data!I:S,9,FALSE)</f>
        <v>Lower Part - Inboard vs Outboard Holes - W-Pitch</v>
      </c>
      <c r="K33" s="33"/>
      <c r="L33" s="33"/>
      <c r="M33" s="33"/>
      <c r="N33" s="2"/>
      <c r="X33" s="3" t="str">
        <f>IF(AND(H33=1,Y33="TRUE"),TRUE,"")</f>
        <v/>
      </c>
      <c r="Y33" s="3" t="str">
        <f>VLOOKUP(A33,data!I:S,10,FALSE)</f>
        <v>True</v>
      </c>
      <c r="Z33" s="3">
        <f>VLOOKUP(A33,data!I:S,7,FALSE)</f>
        <v>-8</v>
      </c>
      <c r="AA33" s="3">
        <f>VLOOKUP(A33,data!I:S,8,FALSE)</f>
        <v>8</v>
      </c>
      <c r="AB33" s="3" t="b">
        <f>IF(OR(G33&lt;Z33,G33&gt;AA33),TRUE,FALSE)</f>
        <v>0</v>
      </c>
    </row>
    <row r="35" spans="1:28" x14ac:dyDescent="0.25">
      <c r="A35" s="18"/>
      <c r="B35" s="19"/>
      <c r="C35" s="19"/>
      <c r="D35" s="19"/>
      <c r="E35" s="19"/>
      <c r="F35" s="19"/>
      <c r="G35" s="20"/>
      <c r="H35" s="19"/>
      <c r="I35" s="19"/>
      <c r="J35" s="19"/>
      <c r="K35" s="19"/>
      <c r="L35" s="19"/>
      <c r="M35" s="21"/>
    </row>
    <row r="36" spans="1:28" x14ac:dyDescent="0.2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6"/>
    </row>
    <row r="37" spans="1:28" x14ac:dyDescent="0.25">
      <c r="A37" s="22" t="s">
        <v>46</v>
      </c>
      <c r="B37" s="24" t="s">
        <v>49</v>
      </c>
      <c r="C37" s="24"/>
      <c r="D37" s="24"/>
      <c r="E37" s="23"/>
      <c r="F37" s="23" t="s">
        <v>47</v>
      </c>
      <c r="G37" s="24" t="s">
        <v>50</v>
      </c>
      <c r="H37" s="24"/>
      <c r="I37" s="24"/>
      <c r="J37" s="23"/>
      <c r="K37" s="23" t="s">
        <v>48</v>
      </c>
      <c r="L37" s="24" t="s">
        <v>51</v>
      </c>
      <c r="M37" s="25"/>
    </row>
    <row r="38" spans="1:28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6"/>
    </row>
    <row r="39" spans="1:28" x14ac:dyDescent="0.25">
      <c r="A39" s="12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4"/>
    </row>
  </sheetData>
  <mergeCells count="32">
    <mergeCell ref="J29:M29"/>
    <mergeCell ref="J30:M30"/>
    <mergeCell ref="J31:M31"/>
    <mergeCell ref="J32:M32"/>
    <mergeCell ref="J33:M33"/>
    <mergeCell ref="J24:M24"/>
    <mergeCell ref="J25:M25"/>
    <mergeCell ref="J26:M26"/>
    <mergeCell ref="J27:M27"/>
    <mergeCell ref="J28:M28"/>
    <mergeCell ref="J19:M19"/>
    <mergeCell ref="J20:M20"/>
    <mergeCell ref="A21:M21"/>
    <mergeCell ref="A22:M22"/>
    <mergeCell ref="J23:M23"/>
    <mergeCell ref="J14:M14"/>
    <mergeCell ref="J15:M15"/>
    <mergeCell ref="J16:M16"/>
    <mergeCell ref="J17:M17"/>
    <mergeCell ref="J18:M18"/>
    <mergeCell ref="B37:D37"/>
    <mergeCell ref="G37:I37"/>
    <mergeCell ref="L37:M37"/>
    <mergeCell ref="A1:M1"/>
    <mergeCell ref="A2:M2"/>
    <mergeCell ref="A5:M5"/>
    <mergeCell ref="A8:M8"/>
    <mergeCell ref="A9:M9"/>
    <mergeCell ref="J10:M10"/>
    <mergeCell ref="J11:M11"/>
    <mergeCell ref="J12:M12"/>
    <mergeCell ref="J13:M13"/>
  </mergeCells>
  <conditionalFormatting sqref="N11">
    <cfRule type="expression" dxfId="19" priority="40">
      <formula>$AB11=TRUE</formula>
    </cfRule>
  </conditionalFormatting>
  <conditionalFormatting sqref="N12">
    <cfRule type="expression" dxfId="18" priority="38">
      <formula>$AB12=TRUE</formula>
    </cfRule>
  </conditionalFormatting>
  <conditionalFormatting sqref="N13">
    <cfRule type="expression" dxfId="17" priority="36">
      <formula>$AB13=TRUE</formula>
    </cfRule>
  </conditionalFormatting>
  <conditionalFormatting sqref="N14">
    <cfRule type="expression" dxfId="16" priority="34">
      <formula>$AB14=TRUE</formula>
    </cfRule>
  </conditionalFormatting>
  <conditionalFormatting sqref="N15">
    <cfRule type="expression" dxfId="15" priority="32">
      <formula>$AB15=TRUE</formula>
    </cfRule>
  </conditionalFormatting>
  <conditionalFormatting sqref="N16">
    <cfRule type="expression" dxfId="14" priority="30">
      <formula>$AB16=TRUE</formula>
    </cfRule>
  </conditionalFormatting>
  <conditionalFormatting sqref="N17">
    <cfRule type="expression" dxfId="13" priority="28">
      <formula>$AB17=TRUE</formula>
    </cfRule>
  </conditionalFormatting>
  <conditionalFormatting sqref="N18">
    <cfRule type="expression" dxfId="12" priority="26">
      <formula>$AB18=TRUE</formula>
    </cfRule>
  </conditionalFormatting>
  <conditionalFormatting sqref="N19">
    <cfRule type="expression" dxfId="11" priority="24">
      <formula>$AB19=TRUE</formula>
    </cfRule>
  </conditionalFormatting>
  <conditionalFormatting sqref="N20">
    <cfRule type="expression" dxfId="10" priority="22">
      <formula>$AB20=TRUE</formula>
    </cfRule>
  </conditionalFormatting>
  <conditionalFormatting sqref="N24">
    <cfRule type="expression" dxfId="9" priority="20">
      <formula>$AB24=TRUE</formula>
    </cfRule>
  </conditionalFormatting>
  <conditionalFormatting sqref="N25">
    <cfRule type="expression" dxfId="8" priority="18">
      <formula>$AB25=TRUE</formula>
    </cfRule>
  </conditionalFormatting>
  <conditionalFormatting sqref="N26">
    <cfRule type="expression" dxfId="7" priority="16">
      <formula>$AB26=TRUE</formula>
    </cfRule>
  </conditionalFormatting>
  <conditionalFormatting sqref="N27">
    <cfRule type="expression" dxfId="6" priority="14">
      <formula>$AB27=TRUE</formula>
    </cfRule>
  </conditionalFormatting>
  <conditionalFormatting sqref="N28">
    <cfRule type="expression" dxfId="5" priority="12">
      <formula>$AB28=TRUE</formula>
    </cfRule>
  </conditionalFormatting>
  <conditionalFormatting sqref="N29">
    <cfRule type="expression" dxfId="4" priority="10">
      <formula>$AB29=TRUE</formula>
    </cfRule>
  </conditionalFormatting>
  <conditionalFormatting sqref="N30">
    <cfRule type="expression" dxfId="3" priority="8">
      <formula>$AB30=TRUE</formula>
    </cfRule>
  </conditionalFormatting>
  <conditionalFormatting sqref="N31">
    <cfRule type="expression" dxfId="2" priority="6">
      <formula>$AB31=TRUE</formula>
    </cfRule>
  </conditionalFormatting>
  <conditionalFormatting sqref="N32">
    <cfRule type="expression" dxfId="1" priority="4">
      <formula>$AB32=TRUE</formula>
    </cfRule>
  </conditionalFormatting>
  <conditionalFormatting sqref="N33">
    <cfRule type="expression" dxfId="0" priority="2">
      <formula>$AB33=TRUE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97" id="{04518AA3-9506-4E2E-A88B-F63C14A84D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L6</xm:sqref>
        </x14:conditionalFormatting>
        <x14:conditionalFormatting xmlns:xm="http://schemas.microsoft.com/office/excel/2006/main">
          <x14:cfRule type="iconSet" priority="39" id="{242369CE-6B7E-4311-AAB9-6331FA33CA8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</xm:sqref>
        </x14:conditionalFormatting>
        <x14:conditionalFormatting xmlns:xm="http://schemas.microsoft.com/office/excel/2006/main">
          <x14:cfRule type="iconSet" priority="37" id="{C44ECB0D-970A-44C7-9834-1B5C257CC3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</xm:sqref>
        </x14:conditionalFormatting>
        <x14:conditionalFormatting xmlns:xm="http://schemas.microsoft.com/office/excel/2006/main">
          <x14:cfRule type="iconSet" priority="35" id="{DDADCE03-8330-4239-85F9-FFFDCDC99F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</xm:sqref>
        </x14:conditionalFormatting>
        <x14:conditionalFormatting xmlns:xm="http://schemas.microsoft.com/office/excel/2006/main">
          <x14:cfRule type="iconSet" priority="33" id="{FEF7962C-CC25-49BF-AA20-93EE3382B2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</xm:sqref>
        </x14:conditionalFormatting>
        <x14:conditionalFormatting xmlns:xm="http://schemas.microsoft.com/office/excel/2006/main">
          <x14:cfRule type="iconSet" priority="31" id="{3FFE8B83-B449-4394-B122-B0C36F361F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</xm:sqref>
        </x14:conditionalFormatting>
        <x14:conditionalFormatting xmlns:xm="http://schemas.microsoft.com/office/excel/2006/main">
          <x14:cfRule type="iconSet" priority="29" id="{66B721DB-C819-4F65-A486-FBFE3F88ED6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</xm:sqref>
        </x14:conditionalFormatting>
        <x14:conditionalFormatting xmlns:xm="http://schemas.microsoft.com/office/excel/2006/main">
          <x14:cfRule type="iconSet" priority="27" id="{3A741980-AAF3-470B-9EE7-F174004299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</xm:sqref>
        </x14:conditionalFormatting>
        <x14:conditionalFormatting xmlns:xm="http://schemas.microsoft.com/office/excel/2006/main">
          <x14:cfRule type="iconSet" priority="25" id="{B41B716B-D864-48DC-9CFA-B3F47B154E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</xm:sqref>
        </x14:conditionalFormatting>
        <x14:conditionalFormatting xmlns:xm="http://schemas.microsoft.com/office/excel/2006/main">
          <x14:cfRule type="iconSet" priority="23" id="{12302A15-6417-4B39-B156-15D9656792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</xm:sqref>
        </x14:conditionalFormatting>
        <x14:conditionalFormatting xmlns:xm="http://schemas.microsoft.com/office/excel/2006/main">
          <x14:cfRule type="iconSet" priority="21" id="{CFAD6884-B8A3-4146-8775-9A0B2D7503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</xm:sqref>
        </x14:conditionalFormatting>
        <x14:conditionalFormatting xmlns:xm="http://schemas.microsoft.com/office/excel/2006/main">
          <x14:cfRule type="iconSet" priority="19" id="{951FE4DD-FED4-4717-9112-0668ED8D27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</xm:sqref>
        </x14:conditionalFormatting>
        <x14:conditionalFormatting xmlns:xm="http://schemas.microsoft.com/office/excel/2006/main">
          <x14:cfRule type="iconSet" priority="17" id="{19DD17AB-AFC9-457B-96E8-8B30EC20AB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</xm:sqref>
        </x14:conditionalFormatting>
        <x14:conditionalFormatting xmlns:xm="http://schemas.microsoft.com/office/excel/2006/main">
          <x14:cfRule type="iconSet" priority="15" id="{8953F184-92AE-4281-A02E-4D9EDDDB81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</xm:sqref>
        </x14:conditionalFormatting>
        <x14:conditionalFormatting xmlns:xm="http://schemas.microsoft.com/office/excel/2006/main">
          <x14:cfRule type="iconSet" priority="13" id="{C496A9F1-BE56-4720-A8DE-6843420C3A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</xm:sqref>
        </x14:conditionalFormatting>
        <x14:conditionalFormatting xmlns:xm="http://schemas.microsoft.com/office/excel/2006/main">
          <x14:cfRule type="iconSet" priority="11" id="{8947EB72-33AB-4488-ADAC-7AC7F798BB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</xm:sqref>
        </x14:conditionalFormatting>
        <x14:conditionalFormatting xmlns:xm="http://schemas.microsoft.com/office/excel/2006/main">
          <x14:cfRule type="iconSet" priority="9" id="{EABFF350-9EB5-454F-8140-35041990C3B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</xm:sqref>
        </x14:conditionalFormatting>
        <x14:conditionalFormatting xmlns:xm="http://schemas.microsoft.com/office/excel/2006/main">
          <x14:cfRule type="iconSet" priority="7" id="{FF4C7A4F-507D-4532-8152-16C10852B1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</xm:sqref>
        </x14:conditionalFormatting>
        <x14:conditionalFormatting xmlns:xm="http://schemas.microsoft.com/office/excel/2006/main">
          <x14:cfRule type="iconSet" priority="5" id="{21129636-E30C-4928-959D-5C9880C9ED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</xm:sqref>
        </x14:conditionalFormatting>
        <x14:conditionalFormatting xmlns:xm="http://schemas.microsoft.com/office/excel/2006/main">
          <x14:cfRule type="iconSet" priority="3" id="{81DBB74D-7A29-4C34-A0C4-71799947E1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</xm:sqref>
        </x14:conditionalFormatting>
        <x14:conditionalFormatting xmlns:xm="http://schemas.microsoft.com/office/excel/2006/main">
          <x14:cfRule type="iconSet" priority="1" id="{9555E2AB-BF03-4A7D-A302-B66DF15F8C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21"/>
  <sheetViews>
    <sheetView workbookViewId="0">
      <selection activeCell="A2" sqref="A2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9.28515625" bestFit="1" customWidth="1"/>
    <col min="4" max="4" width="20.140625" bestFit="1" customWidth="1"/>
    <col min="5" max="5" width="10.7109375" bestFit="1" customWidth="1"/>
    <col min="6" max="6" width="8.140625" bestFit="1" customWidth="1"/>
    <col min="7" max="7" width="12.28515625" bestFit="1" customWidth="1"/>
    <col min="8" max="8" width="12.5703125" bestFit="1" customWidth="1"/>
    <col min="9" max="9" width="11.7109375" bestFit="1" customWidth="1"/>
    <col min="10" max="10" width="5.7109375" bestFit="1" customWidth="1"/>
    <col min="11" max="11" width="10.85546875" bestFit="1" customWidth="1"/>
    <col min="12" max="12" width="13.42578125" bestFit="1" customWidth="1"/>
    <col min="13" max="13" width="17.85546875" bestFit="1" customWidth="1"/>
    <col min="14" max="14" width="18.140625" bestFit="1" customWidth="1"/>
    <col min="15" max="15" width="16.42578125" bestFit="1" customWidth="1"/>
    <col min="16" max="16" width="16.7109375" bestFit="1" customWidth="1"/>
    <col min="17" max="17" width="40.28515625" bestFit="1" customWidth="1"/>
    <col min="18" max="18" width="11.7109375" bestFit="1" customWidth="1"/>
    <col min="19" max="19" width="10.5703125" bestFit="1" customWidth="1"/>
    <col min="20" max="20" width="14.5703125" bestFit="1" customWidth="1"/>
    <col min="21" max="21" width="16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36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10</v>
      </c>
      <c r="S1" t="s">
        <v>11</v>
      </c>
      <c r="T1" t="s">
        <v>12</v>
      </c>
      <c r="U1" t="s">
        <v>13</v>
      </c>
    </row>
    <row r="2" spans="1:21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44</v>
      </c>
      <c r="K2">
        <v>226.93</v>
      </c>
      <c r="L2">
        <v>226.2</v>
      </c>
      <c r="M2">
        <v>-3</v>
      </c>
      <c r="N2">
        <v>3</v>
      </c>
      <c r="O2">
        <v>-4.5</v>
      </c>
      <c r="P2">
        <v>4.5</v>
      </c>
      <c r="Q2" t="s">
        <v>61</v>
      </c>
      <c r="R2" t="s">
        <v>62</v>
      </c>
      <c r="S2" t="s">
        <v>45</v>
      </c>
      <c r="T2">
        <v>1</v>
      </c>
      <c r="U2">
        <v>1</v>
      </c>
    </row>
    <row r="3" spans="1:21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63</v>
      </c>
      <c r="J3" t="s">
        <v>64</v>
      </c>
      <c r="K3">
        <v>-328.24</v>
      </c>
      <c r="L3">
        <v>-326</v>
      </c>
      <c r="M3">
        <v>-3</v>
      </c>
      <c r="N3">
        <v>3</v>
      </c>
      <c r="O3">
        <v>-4.5</v>
      </c>
      <c r="P3">
        <v>4.5</v>
      </c>
      <c r="Q3" t="s">
        <v>65</v>
      </c>
      <c r="R3" t="s">
        <v>62</v>
      </c>
      <c r="S3" t="s">
        <v>45</v>
      </c>
      <c r="T3">
        <v>1</v>
      </c>
      <c r="U3">
        <v>2</v>
      </c>
    </row>
    <row r="4" spans="1:21" x14ac:dyDescent="0.25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66</v>
      </c>
      <c r="J4" t="s">
        <v>67</v>
      </c>
      <c r="K4">
        <v>989.9</v>
      </c>
      <c r="L4">
        <v>990.2</v>
      </c>
      <c r="M4">
        <v>-3</v>
      </c>
      <c r="N4">
        <v>3</v>
      </c>
      <c r="O4">
        <v>-4.5</v>
      </c>
      <c r="P4">
        <v>4.5</v>
      </c>
      <c r="Q4" t="s">
        <v>68</v>
      </c>
      <c r="R4" t="s">
        <v>62</v>
      </c>
      <c r="S4" t="s">
        <v>45</v>
      </c>
      <c r="T4">
        <v>1</v>
      </c>
      <c r="U4">
        <v>3</v>
      </c>
    </row>
    <row r="5" spans="1:21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69</v>
      </c>
      <c r="J5" t="s">
        <v>44</v>
      </c>
      <c r="K5">
        <v>226.41</v>
      </c>
      <c r="L5">
        <v>226.2</v>
      </c>
      <c r="M5">
        <v>-3</v>
      </c>
      <c r="N5">
        <v>3</v>
      </c>
      <c r="O5">
        <v>-4.5</v>
      </c>
      <c r="P5">
        <v>4.5</v>
      </c>
      <c r="Q5" t="s">
        <v>70</v>
      </c>
      <c r="R5" t="s">
        <v>62</v>
      </c>
      <c r="S5" t="s">
        <v>45</v>
      </c>
      <c r="T5">
        <v>1</v>
      </c>
      <c r="U5">
        <v>4</v>
      </c>
    </row>
    <row r="6" spans="1:21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71</v>
      </c>
      <c r="J6" t="s">
        <v>64</v>
      </c>
      <c r="K6">
        <v>326.79000000000002</v>
      </c>
      <c r="L6">
        <v>326</v>
      </c>
      <c r="M6">
        <v>-3</v>
      </c>
      <c r="N6">
        <v>3</v>
      </c>
      <c r="O6">
        <v>-4.5</v>
      </c>
      <c r="P6">
        <v>4.5</v>
      </c>
      <c r="Q6" t="s">
        <v>72</v>
      </c>
      <c r="R6" t="s">
        <v>62</v>
      </c>
      <c r="S6" t="s">
        <v>45</v>
      </c>
      <c r="T6">
        <v>1</v>
      </c>
      <c r="U6">
        <v>5</v>
      </c>
    </row>
    <row r="7" spans="1:21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73</v>
      </c>
      <c r="J7" t="s">
        <v>67</v>
      </c>
      <c r="K7">
        <v>989.23</v>
      </c>
      <c r="L7">
        <v>990.2</v>
      </c>
      <c r="M7">
        <v>-3</v>
      </c>
      <c r="N7">
        <v>3</v>
      </c>
      <c r="O7">
        <v>-4.5</v>
      </c>
      <c r="P7">
        <v>4.5</v>
      </c>
      <c r="Q7" t="s">
        <v>74</v>
      </c>
      <c r="R7" t="s">
        <v>62</v>
      </c>
      <c r="S7" t="s">
        <v>45</v>
      </c>
      <c r="T7">
        <v>1</v>
      </c>
      <c r="U7">
        <v>6</v>
      </c>
    </row>
    <row r="8" spans="1:21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75</v>
      </c>
      <c r="J8" t="s">
        <v>44</v>
      </c>
      <c r="K8">
        <v>228.98</v>
      </c>
      <c r="L8">
        <v>226.2</v>
      </c>
      <c r="M8">
        <v>-3</v>
      </c>
      <c r="N8">
        <v>3</v>
      </c>
      <c r="O8">
        <v>-4.5</v>
      </c>
      <c r="P8">
        <v>4.5</v>
      </c>
      <c r="Q8" t="s">
        <v>76</v>
      </c>
      <c r="R8" t="s">
        <v>62</v>
      </c>
      <c r="S8" t="s">
        <v>45</v>
      </c>
      <c r="T8">
        <v>1</v>
      </c>
      <c r="U8">
        <v>7</v>
      </c>
    </row>
    <row r="9" spans="1:21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77</v>
      </c>
      <c r="J9" t="s">
        <v>64</v>
      </c>
      <c r="K9">
        <v>449.13</v>
      </c>
      <c r="L9">
        <v>449</v>
      </c>
      <c r="M9">
        <v>-3</v>
      </c>
      <c r="N9">
        <v>3</v>
      </c>
      <c r="O9">
        <v>-4.5</v>
      </c>
      <c r="P9">
        <v>4.5</v>
      </c>
      <c r="Q9" t="s">
        <v>78</v>
      </c>
      <c r="R9" t="s">
        <v>62</v>
      </c>
      <c r="S9" t="s">
        <v>45</v>
      </c>
      <c r="T9">
        <v>1</v>
      </c>
      <c r="U9">
        <v>8</v>
      </c>
    </row>
    <row r="10" spans="1:21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79</v>
      </c>
      <c r="J10" t="s">
        <v>67</v>
      </c>
      <c r="K10">
        <v>1051.5</v>
      </c>
      <c r="L10">
        <v>1052.3</v>
      </c>
      <c r="M10">
        <v>-3</v>
      </c>
      <c r="N10">
        <v>3</v>
      </c>
      <c r="O10">
        <v>-4.5</v>
      </c>
      <c r="P10">
        <v>4.5</v>
      </c>
      <c r="Q10" t="s">
        <v>80</v>
      </c>
      <c r="R10" t="s">
        <v>62</v>
      </c>
      <c r="S10" t="s">
        <v>45</v>
      </c>
      <c r="T10">
        <v>1</v>
      </c>
      <c r="U10">
        <v>9</v>
      </c>
    </row>
    <row r="11" spans="1:21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81</v>
      </c>
      <c r="J11" t="s">
        <v>82</v>
      </c>
      <c r="K11">
        <v>655.03</v>
      </c>
      <c r="L11">
        <v>652</v>
      </c>
      <c r="M11">
        <v>-3</v>
      </c>
      <c r="N11">
        <v>3</v>
      </c>
      <c r="O11">
        <v>-6</v>
      </c>
      <c r="P11">
        <v>6</v>
      </c>
      <c r="Q11" t="s">
        <v>83</v>
      </c>
      <c r="R11" t="s">
        <v>62</v>
      </c>
      <c r="S11" t="s">
        <v>45</v>
      </c>
      <c r="T11">
        <v>1</v>
      </c>
      <c r="U11">
        <v>10</v>
      </c>
    </row>
    <row r="12" spans="1:21" x14ac:dyDescent="0.25">
      <c r="A12" t="s">
        <v>52</v>
      </c>
      <c r="B12" t="s">
        <v>53</v>
      </c>
      <c r="C12" t="s">
        <v>84</v>
      </c>
      <c r="D12" t="s">
        <v>85</v>
      </c>
      <c r="E12" t="s">
        <v>56</v>
      </c>
      <c r="F12" t="s">
        <v>57</v>
      </c>
      <c r="G12" t="s">
        <v>58</v>
      </c>
      <c r="H12" t="s">
        <v>59</v>
      </c>
      <c r="I12" t="s">
        <v>86</v>
      </c>
      <c r="J12" t="s">
        <v>44</v>
      </c>
      <c r="K12">
        <v>420.49</v>
      </c>
      <c r="L12">
        <v>420</v>
      </c>
      <c r="M12">
        <v>-4</v>
      </c>
      <c r="N12">
        <v>4</v>
      </c>
      <c r="O12">
        <v>-8</v>
      </c>
      <c r="P12">
        <v>8</v>
      </c>
      <c r="Q12" t="s">
        <v>87</v>
      </c>
      <c r="R12" t="s">
        <v>62</v>
      </c>
      <c r="S12" t="s">
        <v>45</v>
      </c>
      <c r="T12">
        <v>2</v>
      </c>
      <c r="U12">
        <v>1</v>
      </c>
    </row>
    <row r="13" spans="1:21" x14ac:dyDescent="0.25">
      <c r="A13" t="s">
        <v>52</v>
      </c>
      <c r="B13" t="s">
        <v>53</v>
      </c>
      <c r="C13" t="s">
        <v>84</v>
      </c>
      <c r="D13" t="s">
        <v>85</v>
      </c>
      <c r="E13" t="s">
        <v>56</v>
      </c>
      <c r="F13" t="s">
        <v>57</v>
      </c>
      <c r="G13" t="s">
        <v>58</v>
      </c>
      <c r="H13" t="s">
        <v>59</v>
      </c>
      <c r="I13" t="s">
        <v>88</v>
      </c>
      <c r="J13" t="s">
        <v>64</v>
      </c>
      <c r="K13">
        <v>-461.29</v>
      </c>
      <c r="L13">
        <v>-459.6</v>
      </c>
      <c r="M13">
        <v>-4</v>
      </c>
      <c r="N13">
        <v>4</v>
      </c>
      <c r="O13">
        <v>-8</v>
      </c>
      <c r="P13">
        <v>8</v>
      </c>
      <c r="Q13" t="s">
        <v>89</v>
      </c>
      <c r="R13" t="s">
        <v>62</v>
      </c>
      <c r="S13" t="s">
        <v>45</v>
      </c>
      <c r="T13">
        <v>2</v>
      </c>
      <c r="U13">
        <v>2</v>
      </c>
    </row>
    <row r="14" spans="1:21" x14ac:dyDescent="0.25">
      <c r="A14" t="s">
        <v>52</v>
      </c>
      <c r="B14" t="s">
        <v>53</v>
      </c>
      <c r="C14" t="s">
        <v>84</v>
      </c>
      <c r="D14" t="s">
        <v>85</v>
      </c>
      <c r="E14" t="s">
        <v>56</v>
      </c>
      <c r="F14" t="s">
        <v>57</v>
      </c>
      <c r="G14" t="s">
        <v>58</v>
      </c>
      <c r="H14" t="s">
        <v>59</v>
      </c>
      <c r="I14" t="s">
        <v>90</v>
      </c>
      <c r="J14" t="s">
        <v>67</v>
      </c>
      <c r="K14">
        <v>1068.72</v>
      </c>
      <c r="L14">
        <v>1071.4000000000001</v>
      </c>
      <c r="M14">
        <v>-4</v>
      </c>
      <c r="N14">
        <v>4</v>
      </c>
      <c r="O14">
        <v>-8</v>
      </c>
      <c r="P14">
        <v>8</v>
      </c>
      <c r="Q14" t="s">
        <v>91</v>
      </c>
      <c r="R14" t="s">
        <v>62</v>
      </c>
      <c r="S14" t="s">
        <v>45</v>
      </c>
      <c r="T14">
        <v>2</v>
      </c>
      <c r="U14">
        <v>3</v>
      </c>
    </row>
    <row r="15" spans="1:21" x14ac:dyDescent="0.25">
      <c r="A15" t="s">
        <v>52</v>
      </c>
      <c r="B15" t="s">
        <v>53</v>
      </c>
      <c r="C15" t="s">
        <v>84</v>
      </c>
      <c r="D15" t="s">
        <v>85</v>
      </c>
      <c r="E15" t="s">
        <v>56</v>
      </c>
      <c r="F15" t="s">
        <v>57</v>
      </c>
      <c r="G15" t="s">
        <v>58</v>
      </c>
      <c r="H15" t="s">
        <v>59</v>
      </c>
      <c r="I15" t="s">
        <v>92</v>
      </c>
      <c r="J15" t="s">
        <v>44</v>
      </c>
      <c r="K15">
        <v>421.52</v>
      </c>
      <c r="L15">
        <v>420</v>
      </c>
      <c r="M15">
        <v>-4</v>
      </c>
      <c r="N15">
        <v>4</v>
      </c>
      <c r="O15">
        <v>-8</v>
      </c>
      <c r="P15">
        <v>8</v>
      </c>
      <c r="Q15" t="s">
        <v>93</v>
      </c>
      <c r="R15" t="s">
        <v>62</v>
      </c>
      <c r="S15" t="s">
        <v>45</v>
      </c>
      <c r="T15">
        <v>2</v>
      </c>
      <c r="U15">
        <v>4</v>
      </c>
    </row>
    <row r="16" spans="1:21" x14ac:dyDescent="0.25">
      <c r="A16" t="s">
        <v>52</v>
      </c>
      <c r="B16" t="s">
        <v>53</v>
      </c>
      <c r="C16" t="s">
        <v>84</v>
      </c>
      <c r="D16" t="s">
        <v>85</v>
      </c>
      <c r="E16" t="s">
        <v>56</v>
      </c>
      <c r="F16" t="s">
        <v>57</v>
      </c>
      <c r="G16" t="s">
        <v>58</v>
      </c>
      <c r="H16" t="s">
        <v>59</v>
      </c>
      <c r="I16" t="s">
        <v>94</v>
      </c>
      <c r="J16" t="s">
        <v>64</v>
      </c>
      <c r="K16">
        <v>459.74</v>
      </c>
      <c r="L16">
        <v>459.6</v>
      </c>
      <c r="M16">
        <v>-4</v>
      </c>
      <c r="N16">
        <v>4</v>
      </c>
      <c r="O16">
        <v>-8</v>
      </c>
      <c r="P16">
        <v>8</v>
      </c>
      <c r="Q16" t="s">
        <v>95</v>
      </c>
      <c r="R16" t="s">
        <v>62</v>
      </c>
      <c r="S16" t="s">
        <v>45</v>
      </c>
      <c r="T16">
        <v>2</v>
      </c>
      <c r="U16">
        <v>5</v>
      </c>
    </row>
    <row r="17" spans="1:21" x14ac:dyDescent="0.25">
      <c r="A17" t="s">
        <v>52</v>
      </c>
      <c r="B17" t="s">
        <v>53</v>
      </c>
      <c r="C17" t="s">
        <v>84</v>
      </c>
      <c r="D17" t="s">
        <v>85</v>
      </c>
      <c r="E17" t="s">
        <v>56</v>
      </c>
      <c r="F17" t="s">
        <v>57</v>
      </c>
      <c r="G17" t="s">
        <v>58</v>
      </c>
      <c r="H17" t="s">
        <v>59</v>
      </c>
      <c r="I17" t="s">
        <v>96</v>
      </c>
      <c r="J17" t="s">
        <v>67</v>
      </c>
      <c r="K17">
        <v>1070.99</v>
      </c>
      <c r="L17">
        <v>1071.4000000000001</v>
      </c>
      <c r="M17">
        <v>-4</v>
      </c>
      <c r="N17">
        <v>4</v>
      </c>
      <c r="O17">
        <v>-8</v>
      </c>
      <c r="P17">
        <v>8</v>
      </c>
      <c r="Q17" t="s">
        <v>97</v>
      </c>
      <c r="R17" t="s">
        <v>62</v>
      </c>
      <c r="S17" t="s">
        <v>45</v>
      </c>
      <c r="T17">
        <v>2</v>
      </c>
      <c r="U17">
        <v>6</v>
      </c>
    </row>
    <row r="18" spans="1:21" x14ac:dyDescent="0.25">
      <c r="A18" t="s">
        <v>52</v>
      </c>
      <c r="B18" t="s">
        <v>53</v>
      </c>
      <c r="C18" t="s">
        <v>84</v>
      </c>
      <c r="D18" t="s">
        <v>85</v>
      </c>
      <c r="E18" t="s">
        <v>56</v>
      </c>
      <c r="F18" t="s">
        <v>57</v>
      </c>
      <c r="G18" t="s">
        <v>58</v>
      </c>
      <c r="H18" t="s">
        <v>59</v>
      </c>
      <c r="I18" t="s">
        <v>98</v>
      </c>
      <c r="J18" t="s">
        <v>44</v>
      </c>
      <c r="K18">
        <v>1526.54</v>
      </c>
      <c r="L18">
        <v>1527.1</v>
      </c>
      <c r="M18">
        <v>-4</v>
      </c>
      <c r="N18">
        <v>4</v>
      </c>
      <c r="O18">
        <v>-8</v>
      </c>
      <c r="P18">
        <v>8</v>
      </c>
      <c r="Q18" t="s">
        <v>99</v>
      </c>
      <c r="R18" t="s">
        <v>62</v>
      </c>
      <c r="S18" t="s">
        <v>45</v>
      </c>
      <c r="T18">
        <v>2</v>
      </c>
      <c r="U18">
        <v>7</v>
      </c>
    </row>
    <row r="19" spans="1:21" x14ac:dyDescent="0.25">
      <c r="A19" t="s">
        <v>52</v>
      </c>
      <c r="B19" t="s">
        <v>53</v>
      </c>
      <c r="C19" t="s">
        <v>84</v>
      </c>
      <c r="D19" t="s">
        <v>85</v>
      </c>
      <c r="E19" t="s">
        <v>56</v>
      </c>
      <c r="F19" t="s">
        <v>57</v>
      </c>
      <c r="G19" t="s">
        <v>58</v>
      </c>
      <c r="H19" t="s">
        <v>59</v>
      </c>
      <c r="I19" t="s">
        <v>100</v>
      </c>
      <c r="J19" t="s">
        <v>64</v>
      </c>
      <c r="K19">
        <v>620.99</v>
      </c>
      <c r="L19">
        <v>620.4</v>
      </c>
      <c r="M19">
        <v>-4</v>
      </c>
      <c r="N19">
        <v>4</v>
      </c>
      <c r="O19">
        <v>-8</v>
      </c>
      <c r="P19">
        <v>8</v>
      </c>
      <c r="Q19" t="s">
        <v>101</v>
      </c>
      <c r="R19" t="s">
        <v>62</v>
      </c>
      <c r="S19" t="s">
        <v>45</v>
      </c>
      <c r="T19">
        <v>2</v>
      </c>
      <c r="U19">
        <v>8</v>
      </c>
    </row>
    <row r="20" spans="1:21" x14ac:dyDescent="0.25">
      <c r="A20" t="s">
        <v>52</v>
      </c>
      <c r="B20" t="s">
        <v>53</v>
      </c>
      <c r="C20" t="s">
        <v>84</v>
      </c>
      <c r="D20" t="s">
        <v>85</v>
      </c>
      <c r="E20" t="s">
        <v>56</v>
      </c>
      <c r="F20" t="s">
        <v>57</v>
      </c>
      <c r="G20" t="s">
        <v>58</v>
      </c>
      <c r="H20" t="s">
        <v>59</v>
      </c>
      <c r="I20" t="s">
        <v>102</v>
      </c>
      <c r="J20" t="s">
        <v>67</v>
      </c>
      <c r="K20">
        <v>918.56</v>
      </c>
      <c r="L20">
        <v>918</v>
      </c>
      <c r="M20">
        <v>-4</v>
      </c>
      <c r="N20">
        <v>4</v>
      </c>
      <c r="O20">
        <v>-8</v>
      </c>
      <c r="P20">
        <v>8</v>
      </c>
      <c r="Q20" t="s">
        <v>103</v>
      </c>
      <c r="R20" t="s">
        <v>62</v>
      </c>
      <c r="S20" t="s">
        <v>45</v>
      </c>
      <c r="T20">
        <v>2</v>
      </c>
      <c r="U20">
        <v>9</v>
      </c>
    </row>
    <row r="21" spans="1:21" x14ac:dyDescent="0.25">
      <c r="A21" t="s">
        <v>52</v>
      </c>
      <c r="B21" t="s">
        <v>53</v>
      </c>
      <c r="C21" t="s">
        <v>84</v>
      </c>
      <c r="D21" t="s">
        <v>85</v>
      </c>
      <c r="E21" t="s">
        <v>56</v>
      </c>
      <c r="F21" t="s">
        <v>57</v>
      </c>
      <c r="G21" t="s">
        <v>58</v>
      </c>
      <c r="H21" t="s">
        <v>59</v>
      </c>
      <c r="I21" t="s">
        <v>104</v>
      </c>
      <c r="J21" t="s">
        <v>82</v>
      </c>
      <c r="K21">
        <v>921.03</v>
      </c>
      <c r="L21">
        <v>919.2</v>
      </c>
      <c r="M21">
        <v>-4</v>
      </c>
      <c r="N21">
        <v>4</v>
      </c>
      <c r="O21">
        <v>-8</v>
      </c>
      <c r="P21">
        <v>8</v>
      </c>
      <c r="Q21" t="s">
        <v>105</v>
      </c>
      <c r="R21" t="s">
        <v>62</v>
      </c>
      <c r="S21" t="s">
        <v>45</v>
      </c>
      <c r="T21">
        <v>2</v>
      </c>
      <c r="U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Hexagon</dc:creator>
  <cp:lastModifiedBy>Hexagon</cp:lastModifiedBy>
  <dcterms:created xsi:type="dcterms:W3CDTF">2006-09-16T00:00:00Z</dcterms:created>
  <dcterms:modified xsi:type="dcterms:W3CDTF">2026-06-15T14:52:54Z</dcterms:modified>
</cp:coreProperties>
</file>