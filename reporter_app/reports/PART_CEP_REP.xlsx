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105" windowWidth="14805" windowHeight="8010"/>
  </bookViews>
  <sheets>
    <sheet name="report" sheetId="1" r:id="rId1"/>
    <sheet name="data" sheetId="2" r:id="rId2"/>
  </sheets>
  <definedNames>
    <definedName name="_xlnm._FilterDatabase" localSheetId="0" hidden="1">report!$J$4:$P$109</definedName>
    <definedName name="G1_Data">OFFSET(INDEX(data!$E:$E,MATCH(report!$B$5,data!$E:$E,0)),-1,(report!$H$5-5)-(report!$B$7-1),1,report!$B$7)</definedName>
    <definedName name="G1_Lie">OFFSET(INDEX(data!$E:$E,MATCH(report!$B$5,data!$E:$E,0)),-3,(report!$H$5-5)-(report!$B$7-1),1,report!$B$7)</definedName>
    <definedName name="G1_Lse">OFFSET(INDEX(data!$E:$E,MATCH(report!$B$5,data!$E:$E,0)),-2,(report!$H$5-5)-(report!$B$7-1),1,report!$B$7)</definedName>
    <definedName name="G1_Nominal">OFFSET(INDEX(data!$E:$E,MATCH(report!$B$5,data!$E:$E,0)),-4,(report!$H$5-5)-(report!$B$7-1),1,report!$B$7)</definedName>
    <definedName name="G1_XValues">OFFSET(INDEX(data!$E:$E,MATCH(report!$B$5,data!$E:$E,0)),-6,(report!$H$5-5)-(report!$B$7-1),2,report!$B$7)</definedName>
    <definedName name="G10_Data">OFFSET(INDEX(data!$E:$E,MATCH(report!$B$50,data!$E:$E,0)),-1,(report!$H$50-5)-(report!$B$52-1),1,report!$B$52)</definedName>
    <definedName name="G10_Lie">OFFSET(INDEX(data!$E:$E,MATCH(report!$B$50,data!$E:$E,0)),-3,(report!$H$50-5)-(report!$B$52-1),1,report!$B$52)</definedName>
    <definedName name="G10_Lse">OFFSET(INDEX(data!$E:$E,MATCH(report!$B$50,data!$E:$E,0)),-2,(report!$H$50-5)-(report!$B$52-1),1,report!$B$52)</definedName>
    <definedName name="G10_Nominal">OFFSET(INDEX(data!$E:$E,MATCH(report!$B$50,data!$E:$E,0)),-4,(report!$H$50-5)-(report!$B$52-1),1,report!$B$52)</definedName>
    <definedName name="G10_XValues">OFFSET(INDEX(data!$E:$E,MATCH(report!$B$50,data!$E:$E,0)),-6,(report!$H$50-5)-(report!$B$52-1),2,report!$B$52)</definedName>
    <definedName name="G11_Data">OFFSET(INDEX(data!$E:$E,MATCH(report!$B$55,data!$E:$E,0)),-1,(report!$H$55-5)-(report!$B$57-1),1,report!$B$57)</definedName>
    <definedName name="G11_Lie">OFFSET(INDEX(data!$E:$E,MATCH(report!$B$55,data!$E:$E,0)),-3,(report!$H$55-5)-(report!$B$57-1),1,report!$B$57)</definedName>
    <definedName name="G11_Lse">OFFSET(INDEX(data!$E:$E,MATCH(report!$B$55,data!$E:$E,0)),-2,(report!$H$55-5)-(report!$B$57-1),1,report!$B$57)</definedName>
    <definedName name="G11_Nominal">OFFSET(INDEX(data!$E:$E,MATCH(report!$B$55,data!$E:$E,0)),-4,(report!$H$55-5)-(report!$B$57-1),1,report!$B$57)</definedName>
    <definedName name="G11_XValues">OFFSET(INDEX(data!$E:$E,MATCH(report!$B$55,data!$E:$E,0)),-6,(report!$H$55-5)-(report!$B$57-1),2,report!$B$57)</definedName>
    <definedName name="G12_Data">OFFSET(INDEX(data!$E:$E,MATCH(report!$B$60,data!$E:$E,0)),-1,(report!$H$60-5)-(report!$B$62-1),1,report!$B$62)</definedName>
    <definedName name="G12_Lie">OFFSET(INDEX(data!$E:$E,MATCH(report!$B$60,data!$E:$E,0)),-3,(report!$H$60-5)-(report!$B$62-1),1,report!$B$62)</definedName>
    <definedName name="G12_Lse">OFFSET(INDEX(data!$E:$E,MATCH(report!$B$60,data!$E:$E,0)),-2,(report!$H$60-5)-(report!$B$62-1),1,report!$B$62)</definedName>
    <definedName name="G12_Nominal">OFFSET(INDEX(data!$E:$E,MATCH(report!$B$60,data!$E:$E,0)),-4,(report!$H$60-5)-(report!$B$62-1),1,report!$B$62)</definedName>
    <definedName name="G12_XValues">OFFSET(INDEX(data!$E:$E,MATCH(report!$B$60,data!$E:$E,0)),-6,(report!$H$60-5)-(report!$B$62-1),2,report!$B$62)</definedName>
    <definedName name="G13_Data">OFFSET(INDEX(data!$E:$E,MATCH(report!$B$65,data!$E:$E,0)),-1,(report!$H$65-5)-(report!$B$67-1),1,report!$B$67)</definedName>
    <definedName name="G13_Lie">OFFSET(INDEX(data!$E:$E,MATCH(report!$B$65,data!$E:$E,0)),-3,(report!$H$65-5)-(report!$B$67-1),1,report!$B$67)</definedName>
    <definedName name="G13_Lse">OFFSET(INDEX(data!$E:$E,MATCH(report!$B$65,data!$E:$E,0)),-2,(report!$H$65-5)-(report!$B$67-1),1,report!$B$67)</definedName>
    <definedName name="G13_Nominal">OFFSET(INDEX(data!$E:$E,MATCH(report!$B$65,data!$E:$E,0)),-4,(report!$H$65-5)-(report!$B$67-1),1,report!$B$67)</definedName>
    <definedName name="G13_XValues">OFFSET(INDEX(data!$E:$E,MATCH(report!$B$65,data!$E:$E,0)),-6,(report!$H$65-5)-(report!$B$67-1),2,report!$B$67)</definedName>
    <definedName name="G14_Data">OFFSET(INDEX(data!$E:$E,MATCH(report!$B$70,data!$E:$E,0)),-1,(report!$H$70-5)-(report!$B$72-1),1,report!$B$72)</definedName>
    <definedName name="G14_Lie">OFFSET(INDEX(data!$E:$E,MATCH(report!$B$70,data!$E:$E,0)),-3,(report!$H$70-5)-(report!$B$72-1),1,report!$B$72)</definedName>
    <definedName name="G14_Lse">OFFSET(INDEX(data!$E:$E,MATCH(report!$B$70,data!$E:$E,0)),-2,(report!$H$70-5)-(report!$B$72-1),1,report!$B$72)</definedName>
    <definedName name="G14_Nominal">OFFSET(INDEX(data!$E:$E,MATCH(report!$B$70,data!$E:$E,0)),-4,(report!$H$70-5)-(report!$B$72-1),1,report!$B$72)</definedName>
    <definedName name="G14_XValues">OFFSET(INDEX(data!$E:$E,MATCH(report!$B$70,data!$E:$E,0)),-6,(report!$H$70-5)-(report!$B$72-1),2,report!$B$72)</definedName>
    <definedName name="G15_Data">OFFSET(INDEX(data!$E:$E,MATCH(report!$B$75,data!$E:$E,0)),-1,(report!$H$75-5)-(report!$B$77-1),1,report!$B$77)</definedName>
    <definedName name="G15_Lie">OFFSET(INDEX(data!$E:$E,MATCH(report!$B$75,data!$E:$E,0)),-3,(report!$H$75-5)-(report!$B$77-1),1,report!$B$77)</definedName>
    <definedName name="G15_Lse">OFFSET(INDEX(data!$E:$E,MATCH(report!$B$75,data!$E:$E,0)),-2,(report!$H$75-5)-(report!$B$77-1),1,report!$B$77)</definedName>
    <definedName name="G15_Nominal">OFFSET(INDEX(data!$E:$E,MATCH(report!$B$75,data!$E:$E,0)),-4,(report!$H$75-5)-(report!$B$77-1),1,report!$B$77)</definedName>
    <definedName name="G15_XValues">OFFSET(INDEX(data!$E:$E,MATCH(report!$B$75,data!$E:$E,0)),-6,(report!$H$75-5)-(report!$B$77-1),2,report!$B$77)</definedName>
    <definedName name="G16_Data">OFFSET(INDEX(data!$E:$E,MATCH(report!$B$80,data!$E:$E,0)),-1,(report!$H$80-5)-(report!$B$82-1),1,report!$B$82)</definedName>
    <definedName name="G16_Lie">OFFSET(INDEX(data!$E:$E,MATCH(report!$B$80,data!$E:$E,0)),-3,(report!$H$80-5)-(report!$B$82-1),1,report!$B$82)</definedName>
    <definedName name="G16_Lse">OFFSET(INDEX(data!$E:$E,MATCH(report!$B$80,data!$E:$E,0)),-2,(report!$H$80-5)-(report!$B$82-1),1,report!$B$82)</definedName>
    <definedName name="G16_Nominal">OFFSET(INDEX(data!$E:$E,MATCH(report!$B$80,data!$E:$E,0)),-4,(report!$H$80-5)-(report!$B$82-1),1,report!$B$82)</definedName>
    <definedName name="G16_XValues">OFFSET(INDEX(data!$E:$E,MATCH(report!$B$80,data!$E:$E,0)),-6,(report!$H$80-5)-(report!$B$82-1),2,report!$B$82)</definedName>
    <definedName name="G17_Data">OFFSET(INDEX(data!$E:$E,MATCH(report!$B$85,data!$E:$E,0)),-1,(report!$H$85-5)-(report!$B$87-1),1,report!$B$87)</definedName>
    <definedName name="G17_Lie">OFFSET(INDEX(data!$E:$E,MATCH(report!$B$85,data!$E:$E,0)),-3,(report!$H$85-5)-(report!$B$87-1),1,report!$B$87)</definedName>
    <definedName name="G17_Lse">OFFSET(INDEX(data!$E:$E,MATCH(report!$B$85,data!$E:$E,0)),-2,(report!$H$85-5)-(report!$B$87-1),1,report!$B$87)</definedName>
    <definedName name="G17_Nominal">OFFSET(INDEX(data!$E:$E,MATCH(report!$B$85,data!$E:$E,0)),-4,(report!$H$85-5)-(report!$B$87-1),1,report!$B$87)</definedName>
    <definedName name="G17_XValues">OFFSET(INDEX(data!$E:$E,MATCH(report!$B$85,data!$E:$E,0)),-6,(report!$H$85-5)-(report!$B$87-1),2,report!$B$87)</definedName>
    <definedName name="G18_Data">OFFSET(INDEX(data!$E:$E,MATCH(report!$B$90,data!$E:$E,0)),-1,(report!$H$90-5)-(report!$B$92-1),1,report!$B$92)</definedName>
    <definedName name="G18_Lie">OFFSET(INDEX(data!$E:$E,MATCH(report!$B$90,data!$E:$E,0)),-3,(report!$H$90-5)-(report!$B$92-1),1,report!$B$92)</definedName>
    <definedName name="G18_Lse">OFFSET(INDEX(data!$E:$E,MATCH(report!$B$90,data!$E:$E,0)),-2,(report!$H$90-5)-(report!$B$92-1),1,report!$B$92)</definedName>
    <definedName name="G18_Nominal">OFFSET(INDEX(data!$E:$E,MATCH(report!$B$90,data!$E:$E,0)),-4,(report!$H$90-5)-(report!$B$92-1),1,report!$B$92)</definedName>
    <definedName name="G18_XValues">OFFSET(INDEX(data!$E:$E,MATCH(report!$B$90,data!$E:$E,0)),-6,(report!$H$90-5)-(report!$B$92-1),2,report!$B$92)</definedName>
    <definedName name="G19_Data">OFFSET(INDEX(data!$E:$E,MATCH(report!$B$95,data!$E:$E,0)),-1,(report!$H$95-5)-(report!$B$97-1),1,report!$B$97)</definedName>
    <definedName name="G19_Lie">OFFSET(INDEX(data!$E:$E,MATCH(report!$B$95,data!$E:$E,0)),-3,(report!$H$95-5)-(report!$B$97-1),1,report!$B$97)</definedName>
    <definedName name="G19_Lse">OFFSET(INDEX(data!$E:$E,MATCH(report!$B$95,data!$E:$E,0)),-2,(report!$H$95-5)-(report!$B$97-1),1,report!$B$97)</definedName>
    <definedName name="G19_Nominal">OFFSET(INDEX(data!$E:$E,MATCH(report!$B$95,data!$E:$E,0)),-4,(report!$H$95-5)-(report!$B$97-1),1,report!$B$97)</definedName>
    <definedName name="G19_XValues">OFFSET(INDEX(data!$E:$E,MATCH(report!$B$95,data!$E:$E,0)),-6,(report!$H$95-5)-(report!$B$97-1),2,report!$B$97)</definedName>
    <definedName name="G2_Data">OFFSET(INDEX(data!$E:$E,MATCH(report!$B$10,data!$E:$E,0)),-1,(report!$H$10-5)-(report!$B$12-1),1,report!$B$12)</definedName>
    <definedName name="G2_Lie">OFFSET(INDEX(data!$E:$E,MATCH(report!$B$10,data!$E:$E,0)),-3,(report!$H$10-5)-(report!$B$12-1),1,report!$B$12)</definedName>
    <definedName name="G2_Lse">OFFSET(INDEX(data!$E:$E,MATCH(report!$B$10,data!$E:$E,0)),-2,(report!$H$10-5)-(report!$B$12-1),1,report!$B$12)</definedName>
    <definedName name="G2_Nominal">OFFSET(INDEX(data!$E:$E,MATCH(report!$B$10,data!$E:$E,0)),-4,(report!$H$10-5)-(report!$B$12-1),1,report!$B$12)</definedName>
    <definedName name="G2_XValues">OFFSET(INDEX(data!$E:$E,MATCH(report!$B$10,data!$E:$E,0)),-6,(report!$H$10-5)-(report!$B$12-1),2,report!$B$12)</definedName>
    <definedName name="G20_Data">OFFSET(INDEX(data!$E:$E,MATCH(report!$B$100,data!$E:$E,0)),-1,(report!$H$100-5)-(report!$B$102-1),1,report!$B$102)</definedName>
    <definedName name="G20_Lie">OFFSET(INDEX(data!$E:$E,MATCH(report!$B$100,data!$E:$E,0)),-3,(report!$H$100-5)-(report!$B$102-1),1,report!$B$102)</definedName>
    <definedName name="G20_Lse">OFFSET(INDEX(data!$E:$E,MATCH(report!$B$100,data!$E:$E,0)),-2,(report!$H$100-5)-(report!$B$102-1),1,report!$B$102)</definedName>
    <definedName name="G20_Nominal">OFFSET(INDEX(data!$E:$E,MATCH(report!$B$100,data!$E:$E,0)),-4,(report!$H$100-5)-(report!$B$102-1),1,report!$B$102)</definedName>
    <definedName name="G20_XValues">OFFSET(INDEX(data!$E:$E,MATCH(report!$B$100,data!$E:$E,0)),-6,(report!$H$100-5)-(report!$B$102-1),2,report!$B$102)</definedName>
    <definedName name="G3_Data">OFFSET(INDEX(data!$E:$E,MATCH(report!$B$15,data!$E:$E,0)),-1,(report!$H$15-5)-(report!$B$17-1),1,report!$B$17)</definedName>
    <definedName name="G3_Lie">OFFSET(INDEX(data!$E:$E,MATCH(report!$B$15,data!$E:$E,0)),-3,(report!$H$15-5)-(report!$B$17-1),1,report!$B$17)</definedName>
    <definedName name="G3_Lse">OFFSET(INDEX(data!$E:$E,MATCH(report!$B$15,data!$E:$E,0)),-2,(report!$H$15-5)-(report!$B$17-1),1,report!$B$17)</definedName>
    <definedName name="G3_Nominal">OFFSET(INDEX(data!$E:$E,MATCH(report!$B$15,data!$E:$E,0)),-4,(report!$H$15-5)-(report!$B$17-1),1,report!$B$17)</definedName>
    <definedName name="G3_XValues">OFFSET(INDEX(data!$E:$E,MATCH(report!$B$15,data!$E:$E,0)),-6,(report!$H$15-5)-(report!$B$17-1),2,report!$B$17)</definedName>
    <definedName name="G4_Data">OFFSET(INDEX(data!$E:$E,MATCH(report!$B$20,data!$E:$E,0)),-1,(report!$H$20-5)-(report!$B$22-1),1,report!$B$22)</definedName>
    <definedName name="G4_Lie">OFFSET(INDEX(data!$E:$E,MATCH(report!$B$20,data!$E:$E,0)),-3,(report!$H$20-5)-(report!$B$22-1),1,report!$B$22)</definedName>
    <definedName name="G4_Lse">OFFSET(INDEX(data!$E:$E,MATCH(report!$B$20,data!$E:$E,0)),-2,(report!$H$20-5)-(report!$B$22-1),1,report!$B$22)</definedName>
    <definedName name="G4_Nominal">OFFSET(INDEX(data!$E:$E,MATCH(report!$B$20,data!$E:$E,0)),-4,(report!$H$20-5)-(report!$B$22-1),1,report!$B$22)</definedName>
    <definedName name="G4_XValues">OFFSET(INDEX(data!$E:$E,MATCH(report!$B$20,data!$E:$E,0)),-6,(report!$H$20-5)-(report!$B$22-1),2,report!$B$22)</definedName>
    <definedName name="G5_Data">OFFSET(INDEX(data!$E:$E,MATCH(report!$B$25,data!$E:$E,0)),-1,(report!$H$25-5)-(report!$B$27-1),1,report!$B$27)</definedName>
    <definedName name="G5_Lie">OFFSET(INDEX(data!$E:$E,MATCH(report!$B$25,data!$E:$E,0)),-3,(report!$H$25-5)-(report!$B$27-1),1,report!$B$27)</definedName>
    <definedName name="G5_Lse">OFFSET(INDEX(data!$E:$E,MATCH(report!$B$25,data!$E:$E,0)),-2,(report!$H$25-5)-(report!$B$27-1),1,report!$B$27)</definedName>
    <definedName name="G5_Nominal">OFFSET(INDEX(data!$E:$E,MATCH(report!$B$25,data!$E:$E,0)),-4,(report!$H$25-5)-(report!$B$27-1),1,report!$B$27)</definedName>
    <definedName name="G5_XValues">OFFSET(INDEX(data!$E:$E,MATCH(report!$B$25,data!$E:$E,0)),-6,(report!$H$25-5)-(report!$B$27-1),2,report!$B$27)</definedName>
    <definedName name="G6_Data">OFFSET(INDEX(data!$E:$E,MATCH(report!$B$30,data!$E:$E,0)),-1,(report!$H$30-5)-(report!$B$32-1),1,report!$B$32)</definedName>
    <definedName name="G6_Lie">OFFSET(INDEX(data!$E:$E,MATCH(report!$B$30,data!$E:$E,0)),-3,(report!$H$30-5)-(report!$B$32-1),1,report!$B$32)</definedName>
    <definedName name="G6_Lse">OFFSET(INDEX(data!$E:$E,MATCH(report!$B$30,data!$E:$E,0)),-2,(report!$H$30-5)-(report!$B$32-1),1,report!$B$32)</definedName>
    <definedName name="G6_Nominal">OFFSET(INDEX(data!$E:$E,MATCH(report!$B$30,data!$E:$E,0)),-4,(report!$H$30-5)-(report!$B$32-1),1,report!$B$32)</definedName>
    <definedName name="G6_XValues">OFFSET(INDEX(data!$E:$E,MATCH(report!$B$30,data!$E:$E,0)),-6,(report!$H$30-5)-(report!$B$32-1),2,report!$B$32)</definedName>
    <definedName name="G7_Data">OFFSET(INDEX(data!$E:$E,MATCH(report!$B$35,data!$E:$E,0)),-1,(report!$H$35-5)-(report!$B$37-1),1,report!$B$37)</definedName>
    <definedName name="G7_Lie">OFFSET(INDEX(data!$E:$E,MATCH(report!$B$35,data!$E:$E,0)),-3,(report!$H$35-5)-(report!$B$37-1),1,report!$B$37)</definedName>
    <definedName name="G7_Lse">OFFSET(INDEX(data!$E:$E,MATCH(report!$B$35,data!$E:$E,0)),-2,(report!$H$35-5)-(report!$B$37-1),1,report!$B$37)</definedName>
    <definedName name="G7_Nominal">OFFSET(INDEX(data!$E:$E,MATCH(report!$B$35,data!$E:$E,0)),-4,(report!$H$35-5)-(report!$B$37-1),1,report!$B$37)</definedName>
    <definedName name="G7_XValues">OFFSET(INDEX(data!$E:$E,MATCH(report!$B$35,data!$E:$E,0)),-6,(report!$H$35-5)-(report!$B$37-1),2,report!$B$37)</definedName>
    <definedName name="G8_Data">OFFSET(INDEX(data!$E:$E,MATCH(report!$B$40,data!$E:$E,0)),-1,(report!$H$40-5)-(report!$B$42-1),1,report!$B$42)</definedName>
    <definedName name="G8_Lie">OFFSET(INDEX(data!$E:$E,MATCH(report!$B$40,data!$E:$E,0)),-3,(report!$H$40-5)-(report!$B$42-1),1,report!$B$42)</definedName>
    <definedName name="G8_Lse">OFFSET(INDEX(data!$E:$E,MATCH(report!$B$40,data!$E:$E,0)),-2,(report!$H$40-5)-(report!$B$42-1),1,report!$B$42)</definedName>
    <definedName name="G8_Nominal">OFFSET(INDEX(data!$E:$E,MATCH(report!$B$40,data!$E:$E,0)),-4,(report!$H$40-5)-(report!$B$42-1),1,report!$B$42)</definedName>
    <definedName name="G8_XValues">OFFSET(INDEX(data!$E:$E,MATCH(report!$B$40,data!$E:$E,0)),-6,(report!$H$40-5)-(report!$B$42-1),2,report!$B$42)</definedName>
    <definedName name="G9_Data">OFFSET(INDEX(data!$E:$E,MATCH(report!$B$45,data!$E:$E,0)),-1,(report!$H$45-5)-(report!$B$47-1),1,report!$B$47)</definedName>
    <definedName name="G9_Lie">OFFSET(INDEX(data!$E:$E,MATCH(report!$B$45,data!$E:$E,0)),-3,(report!$H$45-5)-(report!$B$47-1),1,report!$B$47)</definedName>
    <definedName name="G9_Lse">OFFSET(INDEX(data!$E:$E,MATCH(report!$B$45,data!$E:$E,0)),-2,(report!$H$45-5)-(report!$B$47-1),1,report!$B$47)</definedName>
    <definedName name="G9_Nominal">OFFSET(INDEX(data!$E:$E,MATCH(report!$B$45,data!$E:$E,0)),-4,(report!$H$45-5)-(report!$B$47-1),1,report!$B$47)</definedName>
    <definedName name="G9_XValues">OFFSET(INDEX(data!$E:$E,MATCH(report!$B$45,data!$E:$E,0)),-6,(report!$H$45-5)-(report!$B$47-1),2,report!$B$47)</definedName>
  </definedNames>
  <calcPr calcId="145621" calcMode="manual"/>
</workbook>
</file>

<file path=xl/calcChain.xml><?xml version="1.0" encoding="utf-8"?>
<calcChain xmlns="http://schemas.openxmlformats.org/spreadsheetml/2006/main">
  <c r="D100" i="1" l="1"/>
  <c r="H100" i="1"/>
  <c r="B102" i="1" s="1"/>
  <c r="F101" i="1" s="1"/>
  <c r="B101" i="1"/>
  <c r="L104" i="1"/>
  <c r="K103" i="1"/>
  <c r="K104" i="1" s="1"/>
  <c r="L101" i="1"/>
  <c r="L102" i="1" s="1"/>
  <c r="L103" i="1" s="1"/>
  <c r="M100" i="1"/>
  <c r="M101" i="1" s="1"/>
  <c r="M102" i="1" s="1"/>
  <c r="M103" i="1" s="1"/>
  <c r="M104" i="1" s="1"/>
  <c r="L100" i="1"/>
  <c r="K100" i="1"/>
  <c r="K101" i="1" s="1"/>
  <c r="K102" i="1" s="1"/>
  <c r="J100" i="1"/>
  <c r="J101" i="1" s="1"/>
  <c r="J102" i="1" s="1"/>
  <c r="J103" i="1" s="1"/>
  <c r="J104" i="1" s="1"/>
  <c r="D95" i="1"/>
  <c r="H95" i="1"/>
  <c r="B96" i="1"/>
  <c r="D99" i="1"/>
  <c r="M99" i="1"/>
  <c r="K97" i="1"/>
  <c r="K98" i="1" s="1"/>
  <c r="K99" i="1" s="1"/>
  <c r="M96" i="1"/>
  <c r="M97" i="1" s="1"/>
  <c r="M98" i="1" s="1"/>
  <c r="K96" i="1"/>
  <c r="J96" i="1"/>
  <c r="J97" i="1" s="1"/>
  <c r="J98" i="1" s="1"/>
  <c r="J99" i="1" s="1"/>
  <c r="M95" i="1"/>
  <c r="L95" i="1"/>
  <c r="L96" i="1" s="1"/>
  <c r="L97" i="1" s="1"/>
  <c r="L98" i="1" s="1"/>
  <c r="L99" i="1" s="1"/>
  <c r="K95" i="1"/>
  <c r="J95" i="1"/>
  <c r="D90" i="1"/>
  <c r="H90" i="1"/>
  <c r="B91" i="1"/>
  <c r="B92" i="1"/>
  <c r="D91" i="1"/>
  <c r="F91" i="1"/>
  <c r="F92" i="1" s="1"/>
  <c r="N90" i="1" s="1"/>
  <c r="N91" i="1" s="1"/>
  <c r="N92" i="1" s="1"/>
  <c r="N93" i="1" s="1"/>
  <c r="N94" i="1" s="1"/>
  <c r="B93" i="1"/>
  <c r="B94" i="1"/>
  <c r="D94" i="1"/>
  <c r="M93" i="1"/>
  <c r="M94" i="1" s="1"/>
  <c r="J93" i="1"/>
  <c r="J94" i="1" s="1"/>
  <c r="L92" i="1"/>
  <c r="L93" i="1" s="1"/>
  <c r="L94" i="1" s="1"/>
  <c r="L91" i="1"/>
  <c r="K91" i="1"/>
  <c r="K92" i="1" s="1"/>
  <c r="K93" i="1" s="1"/>
  <c r="K94" i="1" s="1"/>
  <c r="M90" i="1"/>
  <c r="M91" i="1" s="1"/>
  <c r="M92" i="1" s="1"/>
  <c r="L90" i="1"/>
  <c r="K90" i="1"/>
  <c r="J90" i="1"/>
  <c r="J91" i="1" s="1"/>
  <c r="J92" i="1" s="1"/>
  <c r="D85" i="1"/>
  <c r="H85" i="1"/>
  <c r="B86" i="1"/>
  <c r="M85" i="1" s="1"/>
  <c r="M86" i="1" s="1"/>
  <c r="B87" i="1"/>
  <c r="D86" i="1"/>
  <c r="B89" i="1"/>
  <c r="D89" i="1"/>
  <c r="L89" i="1"/>
  <c r="J89" i="1"/>
  <c r="J88" i="1"/>
  <c r="M87" i="1"/>
  <c r="M88" i="1" s="1"/>
  <c r="M89" i="1" s="1"/>
  <c r="J87" i="1"/>
  <c r="L86" i="1"/>
  <c r="L87" i="1" s="1"/>
  <c r="L88" i="1" s="1"/>
  <c r="L85" i="1"/>
  <c r="K85" i="1"/>
  <c r="K86" i="1" s="1"/>
  <c r="K87" i="1" s="1"/>
  <c r="K88" i="1" s="1"/>
  <c r="K89" i="1" s="1"/>
  <c r="J85" i="1"/>
  <c r="J86" i="1" s="1"/>
  <c r="D80" i="1"/>
  <c r="H80" i="1"/>
  <c r="B81" i="1"/>
  <c r="M80" i="1" s="1"/>
  <c r="B82" i="1"/>
  <c r="D82" i="1"/>
  <c r="D83" i="1"/>
  <c r="B84" i="1"/>
  <c r="L83" i="1"/>
  <c r="L84" i="1" s="1"/>
  <c r="M81" i="1"/>
  <c r="M82" i="1" s="1"/>
  <c r="M83" i="1" s="1"/>
  <c r="M84" i="1" s="1"/>
  <c r="J81" i="1"/>
  <c r="J82" i="1" s="1"/>
  <c r="J83" i="1" s="1"/>
  <c r="J84" i="1" s="1"/>
  <c r="L80" i="1"/>
  <c r="L81" i="1" s="1"/>
  <c r="L82" i="1" s="1"/>
  <c r="K80" i="1"/>
  <c r="K81" i="1" s="1"/>
  <c r="K82" i="1" s="1"/>
  <c r="K83" i="1" s="1"/>
  <c r="K84" i="1" s="1"/>
  <c r="J80" i="1"/>
  <c r="D75" i="1"/>
  <c r="H75" i="1"/>
  <c r="B76" i="1"/>
  <c r="M75" i="1" s="1"/>
  <c r="M76" i="1" s="1"/>
  <c r="M77" i="1" s="1"/>
  <c r="M78" i="1" s="1"/>
  <c r="M79" i="1"/>
  <c r="K77" i="1"/>
  <c r="K78" i="1" s="1"/>
  <c r="K79" i="1" s="1"/>
  <c r="K76" i="1"/>
  <c r="L75" i="1"/>
  <c r="L76" i="1" s="1"/>
  <c r="L77" i="1" s="1"/>
  <c r="L78" i="1" s="1"/>
  <c r="L79" i="1" s="1"/>
  <c r="K75" i="1"/>
  <c r="J75" i="1"/>
  <c r="J76" i="1" s="1"/>
  <c r="J77" i="1" s="1"/>
  <c r="J78" i="1" s="1"/>
  <c r="J79" i="1" s="1"/>
  <c r="D70" i="1"/>
  <c r="H70" i="1"/>
  <c r="B71" i="1"/>
  <c r="M70" i="1" s="1"/>
  <c r="M71" i="1" s="1"/>
  <c r="M72" i="1" s="1"/>
  <c r="M73" i="1" s="1"/>
  <c r="D74" i="1"/>
  <c r="M74" i="1"/>
  <c r="L73" i="1"/>
  <c r="L74" i="1" s="1"/>
  <c r="L72" i="1"/>
  <c r="K72" i="1"/>
  <c r="K73" i="1" s="1"/>
  <c r="K74" i="1" s="1"/>
  <c r="L71" i="1"/>
  <c r="K71" i="1"/>
  <c r="J71" i="1"/>
  <c r="J72" i="1" s="1"/>
  <c r="J73" i="1" s="1"/>
  <c r="J74" i="1" s="1"/>
  <c r="L70" i="1"/>
  <c r="K70" i="1"/>
  <c r="J70" i="1"/>
  <c r="D65" i="1"/>
  <c r="H65" i="1"/>
  <c r="B66" i="1"/>
  <c r="M65" i="1" s="1"/>
  <c r="M66" i="1" s="1"/>
  <c r="M67" i="1" s="1"/>
  <c r="M68" i="1" s="1"/>
  <c r="M69" i="1" s="1"/>
  <c r="B67" i="1"/>
  <c r="D67" i="1"/>
  <c r="B69" i="1"/>
  <c r="D69" i="1"/>
  <c r="L67" i="1"/>
  <c r="L68" i="1" s="1"/>
  <c r="L69" i="1" s="1"/>
  <c r="L66" i="1"/>
  <c r="K66" i="1"/>
  <c r="K67" i="1" s="1"/>
  <c r="K68" i="1" s="1"/>
  <c r="K69" i="1" s="1"/>
  <c r="L65" i="1"/>
  <c r="K65" i="1"/>
  <c r="J65" i="1"/>
  <c r="J66" i="1" s="1"/>
  <c r="J67" i="1" s="1"/>
  <c r="J68" i="1" s="1"/>
  <c r="J69" i="1" s="1"/>
  <c r="D60" i="1"/>
  <c r="H60" i="1"/>
  <c r="B61" i="1"/>
  <c r="K63" i="1"/>
  <c r="K64" i="1" s="1"/>
  <c r="J62" i="1"/>
  <c r="J63" i="1" s="1"/>
  <c r="J64" i="1" s="1"/>
  <c r="J61" i="1"/>
  <c r="M60" i="1"/>
  <c r="M61" i="1" s="1"/>
  <c r="M62" i="1" s="1"/>
  <c r="M63" i="1" s="1"/>
  <c r="M64" i="1" s="1"/>
  <c r="L60" i="1"/>
  <c r="L61" i="1" s="1"/>
  <c r="L62" i="1" s="1"/>
  <c r="L63" i="1" s="1"/>
  <c r="L64" i="1" s="1"/>
  <c r="K60" i="1"/>
  <c r="K61" i="1" s="1"/>
  <c r="K62" i="1" s="1"/>
  <c r="J60" i="1"/>
  <c r="D55" i="1"/>
  <c r="H55" i="1"/>
  <c r="B56" i="1"/>
  <c r="D59" i="1"/>
  <c r="M59" i="1"/>
  <c r="K57" i="1"/>
  <c r="K58" i="1" s="1"/>
  <c r="K59" i="1" s="1"/>
  <c r="M56" i="1"/>
  <c r="M57" i="1" s="1"/>
  <c r="M58" i="1" s="1"/>
  <c r="K56" i="1"/>
  <c r="J56" i="1"/>
  <c r="J57" i="1" s="1"/>
  <c r="J58" i="1" s="1"/>
  <c r="J59" i="1" s="1"/>
  <c r="M55" i="1"/>
  <c r="L55" i="1"/>
  <c r="L56" i="1" s="1"/>
  <c r="L57" i="1" s="1"/>
  <c r="L58" i="1" s="1"/>
  <c r="L59" i="1" s="1"/>
  <c r="K55" i="1"/>
  <c r="J55" i="1"/>
  <c r="D50" i="1"/>
  <c r="H50" i="1"/>
  <c r="B51" i="1"/>
  <c r="B52" i="1"/>
  <c r="D51" i="1"/>
  <c r="F51" i="1"/>
  <c r="F52" i="1" s="1"/>
  <c r="N50" i="1" s="1"/>
  <c r="N51" i="1" s="1"/>
  <c r="N52" i="1" s="1"/>
  <c r="N53" i="1" s="1"/>
  <c r="N54" i="1" s="1"/>
  <c r="B53" i="1"/>
  <c r="B54" i="1"/>
  <c r="D54" i="1"/>
  <c r="J53" i="1"/>
  <c r="J54" i="1" s="1"/>
  <c r="L52" i="1"/>
  <c r="L53" i="1" s="1"/>
  <c r="L54" i="1" s="1"/>
  <c r="L51" i="1"/>
  <c r="K51" i="1"/>
  <c r="K52" i="1" s="1"/>
  <c r="K53" i="1" s="1"/>
  <c r="K54" i="1" s="1"/>
  <c r="M50" i="1"/>
  <c r="M51" i="1" s="1"/>
  <c r="M52" i="1" s="1"/>
  <c r="M53" i="1" s="1"/>
  <c r="M54" i="1" s="1"/>
  <c r="L50" i="1"/>
  <c r="K50" i="1"/>
  <c r="J50" i="1"/>
  <c r="J51" i="1" s="1"/>
  <c r="J52" i="1" s="1"/>
  <c r="D45" i="1"/>
  <c r="H45" i="1"/>
  <c r="B46" i="1"/>
  <c r="M45" i="1" s="1"/>
  <c r="M46" i="1" s="1"/>
  <c r="B47" i="1"/>
  <c r="D46" i="1"/>
  <c r="B49" i="1"/>
  <c r="D49" i="1"/>
  <c r="L49" i="1"/>
  <c r="J49" i="1"/>
  <c r="J48" i="1"/>
  <c r="M47" i="1"/>
  <c r="M48" i="1" s="1"/>
  <c r="M49" i="1" s="1"/>
  <c r="J47" i="1"/>
  <c r="L46" i="1"/>
  <c r="L47" i="1" s="1"/>
  <c r="L48" i="1" s="1"/>
  <c r="L45" i="1"/>
  <c r="K45" i="1"/>
  <c r="K46" i="1" s="1"/>
  <c r="K47" i="1" s="1"/>
  <c r="K48" i="1" s="1"/>
  <c r="K49" i="1" s="1"/>
  <c r="J45" i="1"/>
  <c r="J46" i="1" s="1"/>
  <c r="D40" i="1"/>
  <c r="H40" i="1"/>
  <c r="B41" i="1"/>
  <c r="M40" i="1" s="1"/>
  <c r="B42" i="1"/>
  <c r="D42" i="1"/>
  <c r="D43" i="1"/>
  <c r="B44" i="1"/>
  <c r="M41" i="1"/>
  <c r="M42" i="1" s="1"/>
  <c r="M43" i="1" s="1"/>
  <c r="M44" i="1" s="1"/>
  <c r="J41" i="1"/>
  <c r="J42" i="1" s="1"/>
  <c r="J43" i="1" s="1"/>
  <c r="J44" i="1" s="1"/>
  <c r="L40" i="1"/>
  <c r="L41" i="1" s="1"/>
  <c r="L42" i="1" s="1"/>
  <c r="L43" i="1" s="1"/>
  <c r="L44" i="1" s="1"/>
  <c r="K40" i="1"/>
  <c r="K41" i="1" s="1"/>
  <c r="K42" i="1" s="1"/>
  <c r="K43" i="1" s="1"/>
  <c r="K44" i="1" s="1"/>
  <c r="J40" i="1"/>
  <c r="D35" i="1"/>
  <c r="H35" i="1"/>
  <c r="B36" i="1"/>
  <c r="M39" i="1"/>
  <c r="L38" i="1"/>
  <c r="L39" i="1" s="1"/>
  <c r="K37" i="1"/>
  <c r="K38" i="1" s="1"/>
  <c r="K39" i="1" s="1"/>
  <c r="K36" i="1"/>
  <c r="M35" i="1"/>
  <c r="M36" i="1" s="1"/>
  <c r="M37" i="1" s="1"/>
  <c r="M38" i="1" s="1"/>
  <c r="L35" i="1"/>
  <c r="L36" i="1" s="1"/>
  <c r="L37" i="1" s="1"/>
  <c r="K35" i="1"/>
  <c r="J35" i="1"/>
  <c r="J36" i="1" s="1"/>
  <c r="J37" i="1" s="1"/>
  <c r="J38" i="1" s="1"/>
  <c r="J39" i="1" s="1"/>
  <c r="D30" i="1"/>
  <c r="H30" i="1"/>
  <c r="B31" i="1"/>
  <c r="M30" i="1" s="1"/>
  <c r="M31" i="1" s="1"/>
  <c r="B32" i="1"/>
  <c r="B33" i="1" s="1"/>
  <c r="D31" i="1"/>
  <c r="B34" i="1"/>
  <c r="D34" i="1"/>
  <c r="M34" i="1"/>
  <c r="K34" i="1"/>
  <c r="M33" i="1"/>
  <c r="M32" i="1"/>
  <c r="L32" i="1"/>
  <c r="L33" i="1" s="1"/>
  <c r="L34" i="1" s="1"/>
  <c r="L31" i="1"/>
  <c r="L30" i="1"/>
  <c r="K30" i="1"/>
  <c r="K31" i="1" s="1"/>
  <c r="K32" i="1" s="1"/>
  <c r="K33" i="1" s="1"/>
  <c r="J30" i="1"/>
  <c r="J31" i="1" s="1"/>
  <c r="J32" i="1" s="1"/>
  <c r="J33" i="1" s="1"/>
  <c r="J34" i="1" s="1"/>
  <c r="D25" i="1"/>
  <c r="H25" i="1"/>
  <c r="B26" i="1"/>
  <c r="M25" i="1" s="1"/>
  <c r="M26" i="1" s="1"/>
  <c r="M27" i="1" s="1"/>
  <c r="M28" i="1" s="1"/>
  <c r="M29" i="1" s="1"/>
  <c r="B27" i="1"/>
  <c r="D27" i="1"/>
  <c r="B29" i="1"/>
  <c r="D29" i="1"/>
  <c r="L28" i="1"/>
  <c r="L29" i="1" s="1"/>
  <c r="K28" i="1"/>
  <c r="K29" i="1" s="1"/>
  <c r="J26" i="1"/>
  <c r="J27" i="1" s="1"/>
  <c r="J28" i="1" s="1"/>
  <c r="J29" i="1" s="1"/>
  <c r="L25" i="1"/>
  <c r="L26" i="1" s="1"/>
  <c r="L27" i="1" s="1"/>
  <c r="K25" i="1"/>
  <c r="K26" i="1" s="1"/>
  <c r="K27" i="1" s="1"/>
  <c r="J25" i="1"/>
  <c r="D20" i="1"/>
  <c r="H20" i="1"/>
  <c r="B21" i="1"/>
  <c r="K22" i="1"/>
  <c r="K23" i="1" s="1"/>
  <c r="K24" i="1" s="1"/>
  <c r="M21" i="1"/>
  <c r="M22" i="1" s="1"/>
  <c r="M23" i="1" s="1"/>
  <c r="M24" i="1" s="1"/>
  <c r="K21" i="1"/>
  <c r="J21" i="1"/>
  <c r="J22" i="1" s="1"/>
  <c r="J23" i="1" s="1"/>
  <c r="J24" i="1" s="1"/>
  <c r="M20" i="1"/>
  <c r="L20" i="1"/>
  <c r="L21" i="1" s="1"/>
  <c r="L22" i="1" s="1"/>
  <c r="L23" i="1" s="1"/>
  <c r="L24" i="1" s="1"/>
  <c r="K20" i="1"/>
  <c r="J20" i="1"/>
  <c r="D15" i="1"/>
  <c r="H15" i="1"/>
  <c r="B16" i="1"/>
  <c r="B17" i="1"/>
  <c r="D17" i="1" s="1"/>
  <c r="D16" i="1"/>
  <c r="F16" i="1"/>
  <c r="F17" i="1" s="1"/>
  <c r="N15" i="1" s="1"/>
  <c r="N16" i="1" s="1"/>
  <c r="N17" i="1" s="1"/>
  <c r="N18" i="1" s="1"/>
  <c r="N19" i="1" s="1"/>
  <c r="B18" i="1"/>
  <c r="B19" i="1"/>
  <c r="D19" i="1"/>
  <c r="L17" i="1"/>
  <c r="L18" i="1" s="1"/>
  <c r="L19" i="1" s="1"/>
  <c r="L16" i="1"/>
  <c r="K16" i="1"/>
  <c r="K17" i="1" s="1"/>
  <c r="K18" i="1" s="1"/>
  <c r="K19" i="1" s="1"/>
  <c r="M15" i="1"/>
  <c r="M16" i="1" s="1"/>
  <c r="M17" i="1" s="1"/>
  <c r="M18" i="1" s="1"/>
  <c r="M19" i="1" s="1"/>
  <c r="L15" i="1"/>
  <c r="K15" i="1"/>
  <c r="J15" i="1"/>
  <c r="J16" i="1" s="1"/>
  <c r="J17" i="1" s="1"/>
  <c r="J18" i="1" s="1"/>
  <c r="J19" i="1" s="1"/>
  <c r="D10" i="1"/>
  <c r="H10" i="1"/>
  <c r="B11" i="1"/>
  <c r="M10" i="1" s="1"/>
  <c r="M11" i="1" s="1"/>
  <c r="M12" i="1" s="1"/>
  <c r="M13" i="1" s="1"/>
  <c r="M14" i="1" s="1"/>
  <c r="B12" i="1"/>
  <c r="D11" i="1"/>
  <c r="D12" i="1"/>
  <c r="B14" i="1"/>
  <c r="D14" i="1"/>
  <c r="J12" i="1"/>
  <c r="J13" i="1" s="1"/>
  <c r="J14" i="1" s="1"/>
  <c r="L10" i="1"/>
  <c r="L11" i="1" s="1"/>
  <c r="L12" i="1" s="1"/>
  <c r="L13" i="1" s="1"/>
  <c r="L14" i="1" s="1"/>
  <c r="K10" i="1"/>
  <c r="K11" i="1" s="1"/>
  <c r="K12" i="1" s="1"/>
  <c r="K13" i="1" s="1"/>
  <c r="K14" i="1" s="1"/>
  <c r="J10" i="1"/>
  <c r="J11" i="1" s="1"/>
  <c r="D5" i="1"/>
  <c r="H5" i="1"/>
  <c r="B6" i="1"/>
  <c r="M5" i="1" s="1"/>
  <c r="M6" i="1" s="1"/>
  <c r="M7" i="1" s="1"/>
  <c r="M8" i="1" s="1"/>
  <c r="M9" i="1" s="1"/>
  <c r="B7" i="1"/>
  <c r="F6" i="1"/>
  <c r="D7" i="1"/>
  <c r="D8" i="1"/>
  <c r="F9" i="1" s="1"/>
  <c r="P5" i="1" s="1"/>
  <c r="P6" i="1" s="1"/>
  <c r="P7" i="1" s="1"/>
  <c r="P8" i="1" s="1"/>
  <c r="P9" i="1" s="1"/>
  <c r="K7" i="1"/>
  <c r="K8" i="1" s="1"/>
  <c r="K9" i="1" s="1"/>
  <c r="J6" i="1"/>
  <c r="J7" i="1" s="1"/>
  <c r="J8" i="1" s="1"/>
  <c r="J9" i="1" s="1"/>
  <c r="L5" i="1"/>
  <c r="L6" i="1" s="1"/>
  <c r="L7" i="1" s="1"/>
  <c r="L8" i="1" s="1"/>
  <c r="L9" i="1" s="1"/>
  <c r="K5" i="1"/>
  <c r="K6" i="1" s="1"/>
  <c r="J5" i="1"/>
  <c r="F8" i="1" l="1"/>
  <c r="O5" i="1" s="1"/>
  <c r="O6" i="1" s="1"/>
  <c r="O7" i="1" s="1"/>
  <c r="O8" i="1" s="1"/>
  <c r="O9" i="1" s="1"/>
  <c r="F83" i="1"/>
  <c r="O80" i="1" s="1"/>
  <c r="O81" i="1" s="1"/>
  <c r="O82" i="1" s="1"/>
  <c r="O83" i="1" s="1"/>
  <c r="O84" i="1" s="1"/>
  <c r="F44" i="1"/>
  <c r="P40" i="1" s="1"/>
  <c r="P41" i="1" s="1"/>
  <c r="P42" i="1" s="1"/>
  <c r="P43" i="1" s="1"/>
  <c r="P44" i="1" s="1"/>
  <c r="F43" i="1"/>
  <c r="O40" i="1" s="1"/>
  <c r="O41" i="1" s="1"/>
  <c r="O42" i="1" s="1"/>
  <c r="O43" i="1" s="1"/>
  <c r="O44" i="1" s="1"/>
  <c r="D68" i="1"/>
  <c r="F66" i="1"/>
  <c r="B68" i="1"/>
  <c r="F11" i="1"/>
  <c r="F12" i="1" s="1"/>
  <c r="N10" i="1" s="1"/>
  <c r="N11" i="1" s="1"/>
  <c r="N12" i="1" s="1"/>
  <c r="N13" i="1" s="1"/>
  <c r="N14" i="1" s="1"/>
  <c r="B13" i="1"/>
  <c r="D13" i="1"/>
  <c r="D24" i="1"/>
  <c r="B22" i="1"/>
  <c r="D23" i="1" s="1"/>
  <c r="B24" i="1"/>
  <c r="B77" i="1"/>
  <c r="D78" i="1" s="1"/>
  <c r="B79" i="1"/>
  <c r="D76" i="1"/>
  <c r="D79" i="1"/>
  <c r="D77" i="1"/>
  <c r="F76" i="1"/>
  <c r="F77" i="1" s="1"/>
  <c r="N75" i="1" s="1"/>
  <c r="N76" i="1" s="1"/>
  <c r="N77" i="1" s="1"/>
  <c r="N78" i="1" s="1"/>
  <c r="N79" i="1" s="1"/>
  <c r="B78" i="1"/>
  <c r="D6" i="1"/>
  <c r="F7" i="1" s="1"/>
  <c r="N5" i="1" s="1"/>
  <c r="N6" i="1" s="1"/>
  <c r="N7" i="1" s="1"/>
  <c r="N8" i="1" s="1"/>
  <c r="N9" i="1" s="1"/>
  <c r="D9" i="1"/>
  <c r="B8" i="1"/>
  <c r="D71" i="1"/>
  <c r="D28" i="1"/>
  <c r="F26" i="1"/>
  <c r="F27" i="1" s="1"/>
  <c r="N25" i="1" s="1"/>
  <c r="N26" i="1" s="1"/>
  <c r="N27" i="1" s="1"/>
  <c r="N28" i="1" s="1"/>
  <c r="N29" i="1" s="1"/>
  <c r="B28" i="1"/>
  <c r="B9" i="1"/>
  <c r="B37" i="1"/>
  <c r="D38" i="1" s="1"/>
  <c r="B39" i="1"/>
  <c r="D36" i="1"/>
  <c r="D39" i="1"/>
  <c r="D26" i="1"/>
  <c r="B57" i="1"/>
  <c r="B59" i="1"/>
  <c r="D66" i="1"/>
  <c r="B98" i="1"/>
  <c r="B97" i="1"/>
  <c r="B99" i="1"/>
  <c r="D102" i="1"/>
  <c r="D18" i="1"/>
  <c r="F31" i="1"/>
  <c r="F32" i="1" s="1"/>
  <c r="N30" i="1" s="1"/>
  <c r="N31" i="1" s="1"/>
  <c r="N32" i="1" s="1"/>
  <c r="N33" i="1" s="1"/>
  <c r="N34" i="1" s="1"/>
  <c r="D32" i="1"/>
  <c r="D41" i="1"/>
  <c r="D44" i="1"/>
  <c r="F41" i="1"/>
  <c r="B43" i="1"/>
  <c r="D52" i="1"/>
  <c r="D53" i="1"/>
  <c r="D81" i="1"/>
  <c r="D84" i="1"/>
  <c r="F81" i="1"/>
  <c r="F82" i="1" s="1"/>
  <c r="N80" i="1" s="1"/>
  <c r="N81" i="1" s="1"/>
  <c r="N82" i="1" s="1"/>
  <c r="N83" i="1" s="1"/>
  <c r="N84" i="1" s="1"/>
  <c r="B83" i="1"/>
  <c r="D92" i="1"/>
  <c r="D93" i="1"/>
  <c r="D33" i="1"/>
  <c r="F46" i="1"/>
  <c r="F47" i="1" s="1"/>
  <c r="N45" i="1" s="1"/>
  <c r="N46" i="1" s="1"/>
  <c r="N47" i="1" s="1"/>
  <c r="N48" i="1" s="1"/>
  <c r="N49" i="1" s="1"/>
  <c r="D47" i="1"/>
  <c r="B48" i="1"/>
  <c r="D48" i="1"/>
  <c r="B72" i="1"/>
  <c r="F71" i="1" s="1"/>
  <c r="F72" i="1" s="1"/>
  <c r="N70" i="1" s="1"/>
  <c r="N71" i="1" s="1"/>
  <c r="N72" i="1" s="1"/>
  <c r="N73" i="1" s="1"/>
  <c r="N74" i="1" s="1"/>
  <c r="B74" i="1"/>
  <c r="F86" i="1"/>
  <c r="F87" i="1" s="1"/>
  <c r="N85" i="1" s="1"/>
  <c r="N86" i="1" s="1"/>
  <c r="N87" i="1" s="1"/>
  <c r="N88" i="1" s="1"/>
  <c r="N89" i="1" s="1"/>
  <c r="D87" i="1"/>
  <c r="B88" i="1"/>
  <c r="D88" i="1"/>
  <c r="B103" i="1"/>
  <c r="D103" i="1"/>
  <c r="D64" i="1"/>
  <c r="D61" i="1"/>
  <c r="D104" i="1"/>
  <c r="D101" i="1"/>
  <c r="F102" i="1" s="1"/>
  <c r="N100" i="1" s="1"/>
  <c r="N101" i="1" s="1"/>
  <c r="N102" i="1" s="1"/>
  <c r="N103" i="1" s="1"/>
  <c r="N104" i="1" s="1"/>
  <c r="B64" i="1"/>
  <c r="B62" i="1"/>
  <c r="B63" i="1" s="1"/>
  <c r="B104" i="1"/>
  <c r="A1" i="1"/>
  <c r="H3" i="1"/>
  <c r="E3" i="1"/>
  <c r="B3" i="1"/>
  <c r="D72" i="1" l="1"/>
  <c r="F33" i="1"/>
  <c r="O30" i="1" s="1"/>
  <c r="O31" i="1" s="1"/>
  <c r="O32" i="1" s="1"/>
  <c r="O33" i="1" s="1"/>
  <c r="O34" i="1" s="1"/>
  <c r="F34" i="1"/>
  <c r="P30" i="1" s="1"/>
  <c r="P31" i="1" s="1"/>
  <c r="P32" i="1" s="1"/>
  <c r="P33" i="1" s="1"/>
  <c r="P34" i="1" s="1"/>
  <c r="F21" i="1"/>
  <c r="F14" i="1"/>
  <c r="P10" i="1" s="1"/>
  <c r="P11" i="1" s="1"/>
  <c r="P12" i="1" s="1"/>
  <c r="P13" i="1" s="1"/>
  <c r="P14" i="1" s="1"/>
  <c r="F13" i="1"/>
  <c r="O10" i="1" s="1"/>
  <c r="O11" i="1" s="1"/>
  <c r="O12" i="1" s="1"/>
  <c r="O13" i="1" s="1"/>
  <c r="O14" i="1" s="1"/>
  <c r="F68" i="1"/>
  <c r="O65" i="1" s="1"/>
  <c r="O66" i="1" s="1"/>
  <c r="O67" i="1" s="1"/>
  <c r="O68" i="1" s="1"/>
  <c r="O69" i="1" s="1"/>
  <c r="F69" i="1"/>
  <c r="P65" i="1" s="1"/>
  <c r="P66" i="1" s="1"/>
  <c r="P67" i="1" s="1"/>
  <c r="P68" i="1" s="1"/>
  <c r="P69" i="1" s="1"/>
  <c r="F18" i="1"/>
  <c r="O15" i="1" s="1"/>
  <c r="O16" i="1" s="1"/>
  <c r="O17" i="1" s="1"/>
  <c r="O18" i="1" s="1"/>
  <c r="O19" i="1" s="1"/>
  <c r="F19" i="1"/>
  <c r="P15" i="1" s="1"/>
  <c r="P16" i="1" s="1"/>
  <c r="P17" i="1" s="1"/>
  <c r="P18" i="1" s="1"/>
  <c r="P19" i="1" s="1"/>
  <c r="B23" i="1"/>
  <c r="F93" i="1"/>
  <c r="O90" i="1" s="1"/>
  <c r="O91" i="1" s="1"/>
  <c r="O92" i="1" s="1"/>
  <c r="O93" i="1" s="1"/>
  <c r="O94" i="1" s="1"/>
  <c r="F94" i="1"/>
  <c r="P90" i="1" s="1"/>
  <c r="P91" i="1" s="1"/>
  <c r="P92" i="1" s="1"/>
  <c r="P93" i="1" s="1"/>
  <c r="P94" i="1" s="1"/>
  <c r="B38" i="1"/>
  <c r="F78" i="1"/>
  <c r="O75" i="1" s="1"/>
  <c r="O76" i="1" s="1"/>
  <c r="O77" i="1" s="1"/>
  <c r="O78" i="1" s="1"/>
  <c r="O79" i="1" s="1"/>
  <c r="F79" i="1"/>
  <c r="P75" i="1" s="1"/>
  <c r="P76" i="1" s="1"/>
  <c r="P77" i="1" s="1"/>
  <c r="P78" i="1" s="1"/>
  <c r="P79" i="1" s="1"/>
  <c r="F84" i="1"/>
  <c r="P80" i="1" s="1"/>
  <c r="P81" i="1" s="1"/>
  <c r="P82" i="1" s="1"/>
  <c r="P83" i="1" s="1"/>
  <c r="P84" i="1" s="1"/>
  <c r="F49" i="1"/>
  <c r="P45" i="1" s="1"/>
  <c r="P46" i="1" s="1"/>
  <c r="P47" i="1" s="1"/>
  <c r="P48" i="1" s="1"/>
  <c r="P49" i="1" s="1"/>
  <c r="F48" i="1"/>
  <c r="O45" i="1" s="1"/>
  <c r="O46" i="1" s="1"/>
  <c r="O47" i="1" s="1"/>
  <c r="O48" i="1" s="1"/>
  <c r="O49" i="1" s="1"/>
  <c r="F67" i="1"/>
  <c r="N65" i="1" s="1"/>
  <c r="N66" i="1" s="1"/>
  <c r="N67" i="1" s="1"/>
  <c r="N68" i="1" s="1"/>
  <c r="N69" i="1" s="1"/>
  <c r="F29" i="1"/>
  <c r="P25" i="1" s="1"/>
  <c r="P26" i="1" s="1"/>
  <c r="P27" i="1" s="1"/>
  <c r="P28" i="1" s="1"/>
  <c r="P29" i="1" s="1"/>
  <c r="F28" i="1"/>
  <c r="O25" i="1" s="1"/>
  <c r="O26" i="1" s="1"/>
  <c r="O27" i="1" s="1"/>
  <c r="O28" i="1" s="1"/>
  <c r="O29" i="1" s="1"/>
  <c r="D57" i="1"/>
  <c r="D58" i="1"/>
  <c r="F56" i="1"/>
  <c r="F57" i="1" s="1"/>
  <c r="N55" i="1" s="1"/>
  <c r="N56" i="1" s="1"/>
  <c r="N57" i="1" s="1"/>
  <c r="N58" i="1" s="1"/>
  <c r="N59" i="1" s="1"/>
  <c r="D56" i="1"/>
  <c r="D21" i="1"/>
  <c r="F53" i="1"/>
  <c r="O50" i="1" s="1"/>
  <c r="O51" i="1" s="1"/>
  <c r="O52" i="1" s="1"/>
  <c r="O53" i="1" s="1"/>
  <c r="O54" i="1" s="1"/>
  <c r="F54" i="1"/>
  <c r="P50" i="1" s="1"/>
  <c r="P51" i="1" s="1"/>
  <c r="P52" i="1" s="1"/>
  <c r="P53" i="1" s="1"/>
  <c r="P54" i="1" s="1"/>
  <c r="F103" i="1"/>
  <c r="O100" i="1" s="1"/>
  <c r="O101" i="1" s="1"/>
  <c r="O102" i="1" s="1"/>
  <c r="O103" i="1" s="1"/>
  <c r="O104" i="1" s="1"/>
  <c r="F104" i="1"/>
  <c r="P100" i="1" s="1"/>
  <c r="P101" i="1" s="1"/>
  <c r="P102" i="1" s="1"/>
  <c r="P103" i="1" s="1"/>
  <c r="P104" i="1" s="1"/>
  <c r="F42" i="1"/>
  <c r="N40" i="1" s="1"/>
  <c r="N41" i="1" s="1"/>
  <c r="N42" i="1" s="1"/>
  <c r="N43" i="1" s="1"/>
  <c r="N44" i="1" s="1"/>
  <c r="D97" i="1"/>
  <c r="D98" i="1"/>
  <c r="F96" i="1"/>
  <c r="D96" i="1"/>
  <c r="F36" i="1"/>
  <c r="F37" i="1" s="1"/>
  <c r="N35" i="1" s="1"/>
  <c r="N36" i="1" s="1"/>
  <c r="N37" i="1" s="1"/>
  <c r="N38" i="1" s="1"/>
  <c r="N39" i="1" s="1"/>
  <c r="D22" i="1"/>
  <c r="F23" i="1" s="1"/>
  <c r="O20" i="1" s="1"/>
  <c r="O21" i="1" s="1"/>
  <c r="O22" i="1" s="1"/>
  <c r="O23" i="1" s="1"/>
  <c r="O24" i="1" s="1"/>
  <c r="F89" i="1"/>
  <c r="P85" i="1" s="1"/>
  <c r="P86" i="1" s="1"/>
  <c r="P87" i="1" s="1"/>
  <c r="P88" i="1" s="1"/>
  <c r="P89" i="1" s="1"/>
  <c r="F88" i="1"/>
  <c r="O85" i="1" s="1"/>
  <c r="O86" i="1" s="1"/>
  <c r="O87" i="1" s="1"/>
  <c r="O88" i="1" s="1"/>
  <c r="O89" i="1" s="1"/>
  <c r="B58" i="1"/>
  <c r="D63" i="1"/>
  <c r="D62" i="1"/>
  <c r="F61" i="1"/>
  <c r="F62" i="1" s="1"/>
  <c r="N60" i="1" s="1"/>
  <c r="N61" i="1" s="1"/>
  <c r="N62" i="1" s="1"/>
  <c r="N63" i="1" s="1"/>
  <c r="N64" i="1" s="1"/>
  <c r="B73" i="1"/>
  <c r="D73" i="1"/>
  <c r="D37" i="1"/>
  <c r="F38" i="1" s="1"/>
  <c r="O35" i="1" s="1"/>
  <c r="O36" i="1" s="1"/>
  <c r="O37" i="1" s="1"/>
  <c r="O38" i="1" s="1"/>
  <c r="O39" i="1" s="1"/>
  <c r="F97" i="1" l="1"/>
  <c r="N95" i="1" s="1"/>
  <c r="N96" i="1" s="1"/>
  <c r="N97" i="1" s="1"/>
  <c r="N98" i="1" s="1"/>
  <c r="N99" i="1" s="1"/>
  <c r="F63" i="1"/>
  <c r="O60" i="1" s="1"/>
  <c r="O61" i="1" s="1"/>
  <c r="O62" i="1" s="1"/>
  <c r="O63" i="1" s="1"/>
  <c r="O64" i="1" s="1"/>
  <c r="F64" i="1"/>
  <c r="P60" i="1" s="1"/>
  <c r="P61" i="1" s="1"/>
  <c r="P62" i="1" s="1"/>
  <c r="P63" i="1" s="1"/>
  <c r="P64" i="1" s="1"/>
  <c r="F98" i="1"/>
  <c r="O95" i="1" s="1"/>
  <c r="O96" i="1" s="1"/>
  <c r="O97" i="1" s="1"/>
  <c r="O98" i="1" s="1"/>
  <c r="O99" i="1" s="1"/>
  <c r="F99" i="1"/>
  <c r="P95" i="1" s="1"/>
  <c r="P96" i="1" s="1"/>
  <c r="P97" i="1" s="1"/>
  <c r="P98" i="1" s="1"/>
  <c r="P99" i="1" s="1"/>
  <c r="F39" i="1"/>
  <c r="P35" i="1" s="1"/>
  <c r="P36" i="1" s="1"/>
  <c r="P37" i="1" s="1"/>
  <c r="P38" i="1" s="1"/>
  <c r="P39" i="1" s="1"/>
  <c r="F22" i="1"/>
  <c r="N20" i="1" s="1"/>
  <c r="N21" i="1" s="1"/>
  <c r="N22" i="1" s="1"/>
  <c r="N23" i="1" s="1"/>
  <c r="N24" i="1" s="1"/>
  <c r="F58" i="1"/>
  <c r="O55" i="1" s="1"/>
  <c r="O56" i="1" s="1"/>
  <c r="O57" i="1" s="1"/>
  <c r="O58" i="1" s="1"/>
  <c r="O59" i="1" s="1"/>
  <c r="F59" i="1"/>
  <c r="P55" i="1" s="1"/>
  <c r="P56" i="1" s="1"/>
  <c r="P57" i="1" s="1"/>
  <c r="P58" i="1" s="1"/>
  <c r="P59" i="1" s="1"/>
  <c r="F73" i="1"/>
  <c r="O70" i="1" s="1"/>
  <c r="O71" i="1" s="1"/>
  <c r="O72" i="1" s="1"/>
  <c r="O73" i="1" s="1"/>
  <c r="O74" i="1" s="1"/>
  <c r="F74" i="1"/>
  <c r="P70" i="1" s="1"/>
  <c r="P71" i="1" s="1"/>
  <c r="P72" i="1" s="1"/>
  <c r="P73" i="1" s="1"/>
  <c r="P74" i="1" s="1"/>
  <c r="F24" i="1"/>
  <c r="P20" i="1" s="1"/>
  <c r="P21" i="1" s="1"/>
  <c r="P22" i="1" s="1"/>
  <c r="P23" i="1" s="1"/>
  <c r="P24" i="1" s="1"/>
</calcChain>
</file>

<file path=xl/sharedStrings.xml><?xml version="1.0" encoding="utf-8"?>
<sst xmlns="http://schemas.openxmlformats.org/spreadsheetml/2006/main" count="452" uniqueCount="76">
  <si>
    <t>Date:</t>
  </si>
  <si>
    <t>Time:</t>
  </si>
  <si>
    <t>Report image</t>
  </si>
  <si>
    <t>Nº of Features:</t>
  </si>
  <si>
    <t>Id:</t>
  </si>
  <si>
    <t>Axis:</t>
  </si>
  <si>
    <t>N:</t>
  </si>
  <si>
    <t>From:</t>
  </si>
  <si>
    <t>To:</t>
  </si>
  <si>
    <t>Nominal:</t>
  </si>
  <si>
    <t>LIE:</t>
  </si>
  <si>
    <t>LSE:</t>
  </si>
  <si>
    <t>Average:</t>
  </si>
  <si>
    <t>Deviation:</t>
  </si>
  <si>
    <t>Cp:</t>
  </si>
  <si>
    <t>Cpk:</t>
  </si>
  <si>
    <t>Description:</t>
  </si>
  <si>
    <t>Last value:</t>
  </si>
  <si>
    <t>Pos X</t>
  </si>
  <si>
    <t>Group ID</t>
  </si>
  <si>
    <t>Deviation</t>
  </si>
  <si>
    <t>Cp</t>
  </si>
  <si>
    <t>Cpk</t>
  </si>
  <si>
    <t>Pos Y</t>
  </si>
  <si>
    <t>Pos Z</t>
  </si>
  <si>
    <t>Dist Y</t>
  </si>
  <si>
    <t>Group Description</t>
  </si>
  <si>
    <t>Axis</t>
  </si>
  <si>
    <t>Feature Id</t>
  </si>
  <si>
    <t>15/06/2026</t>
  </si>
  <si>
    <t>PART_CEP_REP</t>
  </si>
  <si>
    <t>Part Model N - Cep Report</t>
  </si>
  <si>
    <t>PART01</t>
  </si>
  <si>
    <t>Upper Sub-Assembly</t>
  </si>
  <si>
    <t>PART01_01L_X</t>
  </si>
  <si>
    <t>Upper Part Inboard LH Hole - Pos X</t>
  </si>
  <si>
    <t>PART01_01L_Y</t>
  </si>
  <si>
    <t>Upper Part Inboard LH Hole - Pos Y</t>
  </si>
  <si>
    <t>PART01_01L_Z</t>
  </si>
  <si>
    <t>Upper Part Inboard LH Hole - Pos Z</t>
  </si>
  <si>
    <t>PART01_01R_X</t>
  </si>
  <si>
    <t>Upper Part Inboard RH Hole - Pos X</t>
  </si>
  <si>
    <t>PART01_01R_Y</t>
  </si>
  <si>
    <t>Upper Part Inboard RH Hole - Pos Y</t>
  </si>
  <si>
    <t>PART01_01R_Z</t>
  </si>
  <si>
    <t>Upper Part Inboard RH Hole - Pos Z</t>
  </si>
  <si>
    <t>PART01_02R_X</t>
  </si>
  <si>
    <t>Upper Part Outboard RH Hole - Pos X</t>
  </si>
  <si>
    <t>PART01_02R_Y</t>
  </si>
  <si>
    <t>Upper Part Outboard RH Hole - Pos Y</t>
  </si>
  <si>
    <t>PART01_02R_Z</t>
  </si>
  <si>
    <t>Upper Part Outboard RH Hole - Pos Z</t>
  </si>
  <si>
    <t>PART01_P1_Y</t>
  </si>
  <si>
    <t>Lower Part - Outboard vs Outboard Holes - W-Pitch</t>
  </si>
  <si>
    <t>PART02</t>
  </si>
  <si>
    <t>Lower Sub-Assembly</t>
  </si>
  <si>
    <t>PART02_01L_X</t>
  </si>
  <si>
    <t>Lower Part Inboard LH Hole - Pos X</t>
  </si>
  <si>
    <t>PART02_01L_Y</t>
  </si>
  <si>
    <t>Lower Part Inboard LH Hole - Pos Y</t>
  </si>
  <si>
    <t>PART02_01L_Z</t>
  </si>
  <si>
    <t>Lower Part Inboard LH Hole - Pos Z</t>
  </si>
  <si>
    <t>PART02_01R_X</t>
  </si>
  <si>
    <t>Lower Part Inboard RH Hole - Pos X</t>
  </si>
  <si>
    <t>PART02_01R_Y</t>
  </si>
  <si>
    <t>Lower Part Inboard RH Hole - Pos Y</t>
  </si>
  <si>
    <t>PART02_01R_Z</t>
  </si>
  <si>
    <t>Lower Part Inboard RH Hole - Pos Z</t>
  </si>
  <si>
    <t>PART02_02R_X</t>
  </si>
  <si>
    <t>Lower Part Outboard Hole - Pos X</t>
  </si>
  <si>
    <t>PART02_02R_Y</t>
  </si>
  <si>
    <t>Lower Part Outboard Hole - Pos Y</t>
  </si>
  <si>
    <t>PART02_02R_Z</t>
  </si>
  <si>
    <t>Lower Part Outboard Hole - Pos Z</t>
  </si>
  <si>
    <t>PART02_P1_Y</t>
  </si>
  <si>
    <t>Lower Part - Inboard vs Outboard Holes - W-Pitch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</si>
</sst>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14" fontId="0" fillId="0" borderId="0" xfId="0" applyNumberForma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0" fillId="2" borderId="10" xfId="0" applyFill="1" applyBorder="1" applyAlignment="1" applyProtection="1">
      <alignment horizontal="center" vertical="center"/>
      <protection locked="0"/>
    </xf>
    <xf numFmtId="164" fontId="0" fillId="0" borderId="13" xfId="0" applyNumberFormat="1" applyBorder="1" applyAlignment="1">
      <alignment horizontal="center" vertical="center"/>
    </xf>
    <xf numFmtId="20" fontId="0" fillId="0" borderId="0" xfId="0" applyNumberFormat="1"/>
    <xf numFmtId="2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/>
    <xf numFmtId="0" fontId="2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[0]!G1_XValues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[0]!G1_Nominal</c:f>
              <c:numCache>
                <c:formatCode>General</c:formatCode>
                <c:ptCount val="62"/>
                <c:pt idx="0">
                  <c:v>226.2</c:v>
                </c:pt>
                <c:pt idx="1">
                  <c:v>226.2</c:v>
                </c:pt>
                <c:pt idx="2">
                  <c:v>226.2</c:v>
                </c:pt>
                <c:pt idx="3">
                  <c:v>226.2</c:v>
                </c:pt>
                <c:pt idx="4">
                  <c:v>226.2</c:v>
                </c:pt>
                <c:pt idx="5">
                  <c:v>226.2</c:v>
                </c:pt>
                <c:pt idx="6">
                  <c:v>226.2</c:v>
                </c:pt>
                <c:pt idx="7">
                  <c:v>226.2</c:v>
                </c:pt>
                <c:pt idx="8">
                  <c:v>226.2</c:v>
                </c:pt>
                <c:pt idx="9">
                  <c:v>226.2</c:v>
                </c:pt>
                <c:pt idx="10">
                  <c:v>226.2</c:v>
                </c:pt>
                <c:pt idx="11">
                  <c:v>226.2</c:v>
                </c:pt>
                <c:pt idx="12">
                  <c:v>226.2</c:v>
                </c:pt>
                <c:pt idx="13">
                  <c:v>226.2</c:v>
                </c:pt>
                <c:pt idx="14">
                  <c:v>226.2</c:v>
                </c:pt>
                <c:pt idx="15">
                  <c:v>226.2</c:v>
                </c:pt>
                <c:pt idx="16">
                  <c:v>226.2</c:v>
                </c:pt>
                <c:pt idx="17">
                  <c:v>226.2</c:v>
                </c:pt>
                <c:pt idx="18">
                  <c:v>226.2</c:v>
                </c:pt>
                <c:pt idx="19">
                  <c:v>226.2</c:v>
                </c:pt>
                <c:pt idx="20">
                  <c:v>226.2</c:v>
                </c:pt>
                <c:pt idx="21">
                  <c:v>226.2</c:v>
                </c:pt>
                <c:pt idx="22">
                  <c:v>226.2</c:v>
                </c:pt>
                <c:pt idx="23">
                  <c:v>226.2</c:v>
                </c:pt>
                <c:pt idx="24">
                  <c:v>226.2</c:v>
                </c:pt>
                <c:pt idx="25">
                  <c:v>226.2</c:v>
                </c:pt>
                <c:pt idx="26">
                  <c:v>226.2</c:v>
                </c:pt>
                <c:pt idx="27">
                  <c:v>226.2</c:v>
                </c:pt>
                <c:pt idx="28">
                  <c:v>226.2</c:v>
                </c:pt>
                <c:pt idx="29">
                  <c:v>226.2</c:v>
                </c:pt>
                <c:pt idx="30">
                  <c:v>226.2</c:v>
                </c:pt>
                <c:pt idx="31">
                  <c:v>226.2</c:v>
                </c:pt>
                <c:pt idx="32">
                  <c:v>226.2</c:v>
                </c:pt>
                <c:pt idx="33">
                  <c:v>226.2</c:v>
                </c:pt>
                <c:pt idx="34">
                  <c:v>226.2</c:v>
                </c:pt>
                <c:pt idx="35">
                  <c:v>226.2</c:v>
                </c:pt>
                <c:pt idx="36">
                  <c:v>226.2</c:v>
                </c:pt>
                <c:pt idx="37">
                  <c:v>226.2</c:v>
                </c:pt>
                <c:pt idx="38">
                  <c:v>226.2</c:v>
                </c:pt>
                <c:pt idx="39">
                  <c:v>226.2</c:v>
                </c:pt>
                <c:pt idx="40">
                  <c:v>226.2</c:v>
                </c:pt>
                <c:pt idx="41">
                  <c:v>226.2</c:v>
                </c:pt>
                <c:pt idx="42">
                  <c:v>226.2</c:v>
                </c:pt>
                <c:pt idx="43">
                  <c:v>226.2</c:v>
                </c:pt>
                <c:pt idx="44">
                  <c:v>226.2</c:v>
                </c:pt>
                <c:pt idx="45">
                  <c:v>226.2</c:v>
                </c:pt>
                <c:pt idx="46">
                  <c:v>226.2</c:v>
                </c:pt>
                <c:pt idx="47">
                  <c:v>226.2</c:v>
                </c:pt>
                <c:pt idx="48">
                  <c:v>226.2</c:v>
                </c:pt>
                <c:pt idx="49">
                  <c:v>226.2</c:v>
                </c:pt>
                <c:pt idx="50">
                  <c:v>226.2</c:v>
                </c:pt>
                <c:pt idx="51">
                  <c:v>226.2</c:v>
                </c:pt>
                <c:pt idx="52">
                  <c:v>226.2</c:v>
                </c:pt>
                <c:pt idx="53">
                  <c:v>226.2</c:v>
                </c:pt>
                <c:pt idx="54">
                  <c:v>226.2</c:v>
                </c:pt>
                <c:pt idx="55">
                  <c:v>226.2</c:v>
                </c:pt>
                <c:pt idx="56">
                  <c:v>226.2</c:v>
                </c:pt>
                <c:pt idx="57">
                  <c:v>226.2</c:v>
                </c:pt>
                <c:pt idx="58">
                  <c:v>226.2</c:v>
                </c:pt>
                <c:pt idx="59">
                  <c:v>226.2</c:v>
                </c:pt>
                <c:pt idx="60">
                  <c:v>226.2</c:v>
                </c:pt>
                <c:pt idx="61">
                  <c:v>226.2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[0]!G1_Lie</c:f>
              <c:numCache>
                <c:formatCode>General</c:formatCode>
                <c:ptCount val="62"/>
                <c:pt idx="0">
                  <c:v>223.2</c:v>
                </c:pt>
                <c:pt idx="1">
                  <c:v>223.2</c:v>
                </c:pt>
                <c:pt idx="2">
                  <c:v>223.2</c:v>
                </c:pt>
                <c:pt idx="3">
                  <c:v>223.2</c:v>
                </c:pt>
                <c:pt idx="4">
                  <c:v>223.2</c:v>
                </c:pt>
                <c:pt idx="5">
                  <c:v>223.2</c:v>
                </c:pt>
                <c:pt idx="6">
                  <c:v>223.2</c:v>
                </c:pt>
                <c:pt idx="7">
                  <c:v>223.2</c:v>
                </c:pt>
                <c:pt idx="8">
                  <c:v>223.2</c:v>
                </c:pt>
                <c:pt idx="9">
                  <c:v>223.2</c:v>
                </c:pt>
                <c:pt idx="10">
                  <c:v>223.2</c:v>
                </c:pt>
                <c:pt idx="11">
                  <c:v>223.2</c:v>
                </c:pt>
                <c:pt idx="12">
                  <c:v>223.2</c:v>
                </c:pt>
                <c:pt idx="13">
                  <c:v>223.2</c:v>
                </c:pt>
                <c:pt idx="14">
                  <c:v>223.2</c:v>
                </c:pt>
                <c:pt idx="15">
                  <c:v>223.2</c:v>
                </c:pt>
                <c:pt idx="16">
                  <c:v>223.2</c:v>
                </c:pt>
                <c:pt idx="17">
                  <c:v>223.2</c:v>
                </c:pt>
                <c:pt idx="18">
                  <c:v>223.2</c:v>
                </c:pt>
                <c:pt idx="19">
                  <c:v>223.2</c:v>
                </c:pt>
                <c:pt idx="20">
                  <c:v>223.2</c:v>
                </c:pt>
                <c:pt idx="21">
                  <c:v>223.2</c:v>
                </c:pt>
                <c:pt idx="22">
                  <c:v>223.2</c:v>
                </c:pt>
                <c:pt idx="23">
                  <c:v>223.2</c:v>
                </c:pt>
                <c:pt idx="24">
                  <c:v>223.2</c:v>
                </c:pt>
                <c:pt idx="25">
                  <c:v>223.2</c:v>
                </c:pt>
                <c:pt idx="26">
                  <c:v>223.2</c:v>
                </c:pt>
                <c:pt idx="27">
                  <c:v>223.2</c:v>
                </c:pt>
                <c:pt idx="28">
                  <c:v>223.2</c:v>
                </c:pt>
                <c:pt idx="29">
                  <c:v>223.2</c:v>
                </c:pt>
                <c:pt idx="30">
                  <c:v>223.2</c:v>
                </c:pt>
                <c:pt idx="31">
                  <c:v>223.2</c:v>
                </c:pt>
                <c:pt idx="32">
                  <c:v>223.2</c:v>
                </c:pt>
                <c:pt idx="33">
                  <c:v>223.2</c:v>
                </c:pt>
                <c:pt idx="34">
                  <c:v>223.2</c:v>
                </c:pt>
                <c:pt idx="35">
                  <c:v>223.2</c:v>
                </c:pt>
                <c:pt idx="36">
                  <c:v>223.2</c:v>
                </c:pt>
                <c:pt idx="37">
                  <c:v>223.2</c:v>
                </c:pt>
                <c:pt idx="38">
                  <c:v>223.2</c:v>
                </c:pt>
                <c:pt idx="39">
                  <c:v>223.2</c:v>
                </c:pt>
                <c:pt idx="40">
                  <c:v>223.2</c:v>
                </c:pt>
                <c:pt idx="41">
                  <c:v>223.2</c:v>
                </c:pt>
                <c:pt idx="42">
                  <c:v>223.2</c:v>
                </c:pt>
                <c:pt idx="43">
                  <c:v>223.2</c:v>
                </c:pt>
                <c:pt idx="44">
                  <c:v>223.2</c:v>
                </c:pt>
                <c:pt idx="45">
                  <c:v>223.2</c:v>
                </c:pt>
                <c:pt idx="46">
                  <c:v>223.2</c:v>
                </c:pt>
                <c:pt idx="47">
                  <c:v>223.2</c:v>
                </c:pt>
                <c:pt idx="48">
                  <c:v>223.2</c:v>
                </c:pt>
                <c:pt idx="49">
                  <c:v>223.2</c:v>
                </c:pt>
                <c:pt idx="50">
                  <c:v>223.2</c:v>
                </c:pt>
                <c:pt idx="51">
                  <c:v>223.2</c:v>
                </c:pt>
                <c:pt idx="52">
                  <c:v>223.2</c:v>
                </c:pt>
                <c:pt idx="53">
                  <c:v>223.2</c:v>
                </c:pt>
                <c:pt idx="54">
                  <c:v>223.2</c:v>
                </c:pt>
                <c:pt idx="55">
                  <c:v>223.2</c:v>
                </c:pt>
                <c:pt idx="56">
                  <c:v>223.2</c:v>
                </c:pt>
                <c:pt idx="57">
                  <c:v>223.2</c:v>
                </c:pt>
                <c:pt idx="58">
                  <c:v>223.2</c:v>
                </c:pt>
                <c:pt idx="59">
                  <c:v>223.2</c:v>
                </c:pt>
                <c:pt idx="60">
                  <c:v>223.2</c:v>
                </c:pt>
                <c:pt idx="61">
                  <c:v>223.2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[0]!G1_Lse</c:f>
              <c:numCache>
                <c:formatCode>General</c:formatCode>
                <c:ptCount val="62"/>
                <c:pt idx="0">
                  <c:v>229.2</c:v>
                </c:pt>
                <c:pt idx="1">
                  <c:v>229.2</c:v>
                </c:pt>
                <c:pt idx="2">
                  <c:v>229.2</c:v>
                </c:pt>
                <c:pt idx="3">
                  <c:v>229.2</c:v>
                </c:pt>
                <c:pt idx="4">
                  <c:v>229.2</c:v>
                </c:pt>
                <c:pt idx="5">
                  <c:v>229.2</c:v>
                </c:pt>
                <c:pt idx="6">
                  <c:v>229.2</c:v>
                </c:pt>
                <c:pt idx="7">
                  <c:v>229.2</c:v>
                </c:pt>
                <c:pt idx="8">
                  <c:v>229.2</c:v>
                </c:pt>
                <c:pt idx="9">
                  <c:v>229.2</c:v>
                </c:pt>
                <c:pt idx="10">
                  <c:v>229.2</c:v>
                </c:pt>
                <c:pt idx="11">
                  <c:v>229.2</c:v>
                </c:pt>
                <c:pt idx="12">
                  <c:v>229.2</c:v>
                </c:pt>
                <c:pt idx="13">
                  <c:v>229.2</c:v>
                </c:pt>
                <c:pt idx="14">
                  <c:v>229.2</c:v>
                </c:pt>
                <c:pt idx="15">
                  <c:v>229.2</c:v>
                </c:pt>
                <c:pt idx="16">
                  <c:v>229.2</c:v>
                </c:pt>
                <c:pt idx="17">
                  <c:v>229.2</c:v>
                </c:pt>
                <c:pt idx="18">
                  <c:v>229.2</c:v>
                </c:pt>
                <c:pt idx="19">
                  <c:v>229.2</c:v>
                </c:pt>
                <c:pt idx="20">
                  <c:v>229.2</c:v>
                </c:pt>
                <c:pt idx="21">
                  <c:v>229.2</c:v>
                </c:pt>
                <c:pt idx="22">
                  <c:v>229.2</c:v>
                </c:pt>
                <c:pt idx="23">
                  <c:v>229.2</c:v>
                </c:pt>
                <c:pt idx="24">
                  <c:v>229.2</c:v>
                </c:pt>
                <c:pt idx="25">
                  <c:v>229.2</c:v>
                </c:pt>
                <c:pt idx="26">
                  <c:v>229.2</c:v>
                </c:pt>
                <c:pt idx="27">
                  <c:v>229.2</c:v>
                </c:pt>
                <c:pt idx="28">
                  <c:v>229.2</c:v>
                </c:pt>
                <c:pt idx="29">
                  <c:v>229.2</c:v>
                </c:pt>
                <c:pt idx="30">
                  <c:v>229.2</c:v>
                </c:pt>
                <c:pt idx="31">
                  <c:v>229.2</c:v>
                </c:pt>
                <c:pt idx="32">
                  <c:v>229.2</c:v>
                </c:pt>
                <c:pt idx="33">
                  <c:v>229.2</c:v>
                </c:pt>
                <c:pt idx="34">
                  <c:v>229.2</c:v>
                </c:pt>
                <c:pt idx="35">
                  <c:v>229.2</c:v>
                </c:pt>
                <c:pt idx="36">
                  <c:v>229.2</c:v>
                </c:pt>
                <c:pt idx="37">
                  <c:v>229.2</c:v>
                </c:pt>
                <c:pt idx="38">
                  <c:v>229.2</c:v>
                </c:pt>
                <c:pt idx="39">
                  <c:v>229.2</c:v>
                </c:pt>
                <c:pt idx="40">
                  <c:v>229.2</c:v>
                </c:pt>
                <c:pt idx="41">
                  <c:v>229.2</c:v>
                </c:pt>
                <c:pt idx="42">
                  <c:v>229.2</c:v>
                </c:pt>
                <c:pt idx="43">
                  <c:v>229.2</c:v>
                </c:pt>
                <c:pt idx="44">
                  <c:v>229.2</c:v>
                </c:pt>
                <c:pt idx="45">
                  <c:v>229.2</c:v>
                </c:pt>
                <c:pt idx="46">
                  <c:v>229.2</c:v>
                </c:pt>
                <c:pt idx="47">
                  <c:v>229.2</c:v>
                </c:pt>
                <c:pt idx="48">
                  <c:v>229.2</c:v>
                </c:pt>
                <c:pt idx="49">
                  <c:v>229.2</c:v>
                </c:pt>
                <c:pt idx="50">
                  <c:v>229.2</c:v>
                </c:pt>
                <c:pt idx="51">
                  <c:v>229.2</c:v>
                </c:pt>
                <c:pt idx="52">
                  <c:v>229.2</c:v>
                </c:pt>
                <c:pt idx="53">
                  <c:v>229.2</c:v>
                </c:pt>
                <c:pt idx="54">
                  <c:v>229.2</c:v>
                </c:pt>
                <c:pt idx="55">
                  <c:v>229.2</c:v>
                </c:pt>
                <c:pt idx="56">
                  <c:v>229.2</c:v>
                </c:pt>
                <c:pt idx="57">
                  <c:v>229.2</c:v>
                </c:pt>
                <c:pt idx="58">
                  <c:v>229.2</c:v>
                </c:pt>
                <c:pt idx="59">
                  <c:v>229.2</c:v>
                </c:pt>
                <c:pt idx="60">
                  <c:v>229.2</c:v>
                </c:pt>
                <c:pt idx="61">
                  <c:v>229.2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[0]!G1_XValues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[0]!G1_Data</c:f>
              <c:numCache>
                <c:formatCode>General</c:formatCode>
                <c:ptCount val="62"/>
                <c:pt idx="0">
                  <c:v>226.02</c:v>
                </c:pt>
                <c:pt idx="1">
                  <c:v>227.21</c:v>
                </c:pt>
                <c:pt idx="2">
                  <c:v>227.46</c:v>
                </c:pt>
                <c:pt idx="3">
                  <c:v>227.7</c:v>
                </c:pt>
                <c:pt idx="4">
                  <c:v>226.5</c:v>
                </c:pt>
                <c:pt idx="5">
                  <c:v>227</c:v>
                </c:pt>
                <c:pt idx="6">
                  <c:v>226.7</c:v>
                </c:pt>
                <c:pt idx="7">
                  <c:v>226</c:v>
                </c:pt>
                <c:pt idx="8">
                  <c:v>226.5</c:v>
                </c:pt>
                <c:pt idx="9">
                  <c:v>227.44</c:v>
                </c:pt>
                <c:pt idx="10">
                  <c:v>226.8</c:v>
                </c:pt>
                <c:pt idx="11">
                  <c:v>227.06</c:v>
                </c:pt>
                <c:pt idx="12">
                  <c:v>226.43</c:v>
                </c:pt>
                <c:pt idx="13">
                  <c:v>227.24</c:v>
                </c:pt>
                <c:pt idx="14">
                  <c:v>227.23</c:v>
                </c:pt>
                <c:pt idx="15">
                  <c:v>227.47</c:v>
                </c:pt>
                <c:pt idx="16">
                  <c:v>226.74</c:v>
                </c:pt>
                <c:pt idx="17">
                  <c:v>227.59</c:v>
                </c:pt>
                <c:pt idx="18">
                  <c:v>227.7</c:v>
                </c:pt>
                <c:pt idx="19">
                  <c:v>227.2</c:v>
                </c:pt>
                <c:pt idx="20">
                  <c:v>226.8</c:v>
                </c:pt>
                <c:pt idx="21">
                  <c:v>227.63</c:v>
                </c:pt>
                <c:pt idx="22">
                  <c:v>227.2</c:v>
                </c:pt>
                <c:pt idx="23">
                  <c:v>227.2</c:v>
                </c:pt>
                <c:pt idx="24">
                  <c:v>227.3</c:v>
                </c:pt>
                <c:pt idx="25">
                  <c:v>227.6</c:v>
                </c:pt>
                <c:pt idx="26">
                  <c:v>227.2</c:v>
                </c:pt>
                <c:pt idx="27">
                  <c:v>226.95</c:v>
                </c:pt>
                <c:pt idx="28">
                  <c:v>225.6</c:v>
                </c:pt>
                <c:pt idx="29">
                  <c:v>227.36</c:v>
                </c:pt>
                <c:pt idx="30">
                  <c:v>227.37</c:v>
                </c:pt>
                <c:pt idx="31">
                  <c:v>226.88</c:v>
                </c:pt>
                <c:pt idx="32">
                  <c:v>226.15</c:v>
                </c:pt>
                <c:pt idx="33">
                  <c:v>226.36</c:v>
                </c:pt>
                <c:pt idx="34">
                  <c:v>226.6</c:v>
                </c:pt>
                <c:pt idx="35">
                  <c:v>226.6</c:v>
                </c:pt>
                <c:pt idx="36">
                  <c:v>227.38</c:v>
                </c:pt>
                <c:pt idx="37">
                  <c:v>227.08</c:v>
                </c:pt>
                <c:pt idx="38">
                  <c:v>226.53</c:v>
                </c:pt>
                <c:pt idx="39">
                  <c:v>226.39</c:v>
                </c:pt>
                <c:pt idx="40">
                  <c:v>227.43</c:v>
                </c:pt>
                <c:pt idx="41">
                  <c:v>226.29</c:v>
                </c:pt>
                <c:pt idx="42">
                  <c:v>227.21</c:v>
                </c:pt>
                <c:pt idx="43">
                  <c:v>227.35</c:v>
                </c:pt>
                <c:pt idx="44">
                  <c:v>227.29</c:v>
                </c:pt>
                <c:pt idx="45">
                  <c:v>227.22</c:v>
                </c:pt>
                <c:pt idx="46">
                  <c:v>226.52</c:v>
                </c:pt>
                <c:pt idx="47">
                  <c:v>227.16</c:v>
                </c:pt>
                <c:pt idx="48">
                  <c:v>227.08</c:v>
                </c:pt>
                <c:pt idx="49">
                  <c:v>227.46</c:v>
                </c:pt>
                <c:pt idx="50">
                  <c:v>227.17</c:v>
                </c:pt>
                <c:pt idx="51">
                  <c:v>226.42</c:v>
                </c:pt>
                <c:pt idx="52">
                  <c:v>227.07</c:v>
                </c:pt>
                <c:pt idx="53">
                  <c:v>226.99</c:v>
                </c:pt>
                <c:pt idx="54">
                  <c:v>227.01</c:v>
                </c:pt>
                <c:pt idx="55">
                  <c:v>226.75</c:v>
                </c:pt>
                <c:pt idx="56">
                  <c:v>226.66</c:v>
                </c:pt>
                <c:pt idx="57">
                  <c:v>226.84</c:v>
                </c:pt>
                <c:pt idx="58">
                  <c:v>226.43</c:v>
                </c:pt>
                <c:pt idx="59">
                  <c:v>226.71</c:v>
                </c:pt>
                <c:pt idx="60">
                  <c:v>227.62</c:v>
                </c:pt>
                <c:pt idx="61">
                  <c:v>227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53920"/>
        <c:axId val="124368384"/>
      </c:lineChart>
      <c:catAx>
        <c:axId val="124353920"/>
        <c:scaling>
          <c:orientation val="minMax"/>
        </c:scaling>
        <c:delete val="1"/>
        <c:axPos val="b"/>
        <c:majorTickMark val="out"/>
        <c:minorTickMark val="none"/>
        <c:tickLblPos val="nextTo"/>
        <c:crossAx val="124368384"/>
        <c:crosses val="autoZero"/>
        <c:auto val="0"/>
        <c:lblAlgn val="ctr"/>
        <c:lblOffset val="100"/>
        <c:noMultiLvlLbl val="1"/>
      </c:catAx>
      <c:valAx>
        <c:axId val="124368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4353920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[0]!G2_XValues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[0]!G2_Nominal</c:f>
              <c:numCache>
                <c:formatCode>General</c:formatCode>
                <c:ptCount val="62"/>
                <c:pt idx="0">
                  <c:v>-326</c:v>
                </c:pt>
                <c:pt idx="1">
                  <c:v>-326</c:v>
                </c:pt>
                <c:pt idx="2">
                  <c:v>-326</c:v>
                </c:pt>
                <c:pt idx="3">
                  <c:v>-326</c:v>
                </c:pt>
                <c:pt idx="4">
                  <c:v>-326</c:v>
                </c:pt>
                <c:pt idx="5">
                  <c:v>-326</c:v>
                </c:pt>
                <c:pt idx="6">
                  <c:v>-326</c:v>
                </c:pt>
                <c:pt idx="7">
                  <c:v>-326</c:v>
                </c:pt>
                <c:pt idx="8">
                  <c:v>-326</c:v>
                </c:pt>
                <c:pt idx="9">
                  <c:v>-326</c:v>
                </c:pt>
                <c:pt idx="10">
                  <c:v>-326</c:v>
                </c:pt>
                <c:pt idx="11">
                  <c:v>-326</c:v>
                </c:pt>
                <c:pt idx="12">
                  <c:v>-326</c:v>
                </c:pt>
                <c:pt idx="13">
                  <c:v>-326</c:v>
                </c:pt>
                <c:pt idx="14">
                  <c:v>-326</c:v>
                </c:pt>
                <c:pt idx="15">
                  <c:v>-326</c:v>
                </c:pt>
                <c:pt idx="16">
                  <c:v>-326</c:v>
                </c:pt>
                <c:pt idx="17">
                  <c:v>-326</c:v>
                </c:pt>
                <c:pt idx="18">
                  <c:v>-326</c:v>
                </c:pt>
                <c:pt idx="19">
                  <c:v>-326</c:v>
                </c:pt>
                <c:pt idx="20">
                  <c:v>-326</c:v>
                </c:pt>
                <c:pt idx="21">
                  <c:v>-326</c:v>
                </c:pt>
                <c:pt idx="22">
                  <c:v>-326</c:v>
                </c:pt>
                <c:pt idx="23">
                  <c:v>-326</c:v>
                </c:pt>
                <c:pt idx="24">
                  <c:v>-326</c:v>
                </c:pt>
                <c:pt idx="25">
                  <c:v>-326</c:v>
                </c:pt>
                <c:pt idx="26">
                  <c:v>-326</c:v>
                </c:pt>
                <c:pt idx="27">
                  <c:v>-326</c:v>
                </c:pt>
                <c:pt idx="28">
                  <c:v>-326</c:v>
                </c:pt>
                <c:pt idx="29">
                  <c:v>-326</c:v>
                </c:pt>
                <c:pt idx="30">
                  <c:v>-326</c:v>
                </c:pt>
                <c:pt idx="31">
                  <c:v>-326</c:v>
                </c:pt>
                <c:pt idx="32">
                  <c:v>-326</c:v>
                </c:pt>
                <c:pt idx="33">
                  <c:v>-326</c:v>
                </c:pt>
                <c:pt idx="34">
                  <c:v>-326</c:v>
                </c:pt>
                <c:pt idx="35">
                  <c:v>-326</c:v>
                </c:pt>
                <c:pt idx="36">
                  <c:v>-326</c:v>
                </c:pt>
                <c:pt idx="37">
                  <c:v>-326</c:v>
                </c:pt>
                <c:pt idx="38">
                  <c:v>-326</c:v>
                </c:pt>
                <c:pt idx="39">
                  <c:v>-326</c:v>
                </c:pt>
                <c:pt idx="40">
                  <c:v>-326</c:v>
                </c:pt>
                <c:pt idx="41">
                  <c:v>-326</c:v>
                </c:pt>
                <c:pt idx="42">
                  <c:v>-326</c:v>
                </c:pt>
                <c:pt idx="43">
                  <c:v>-326</c:v>
                </c:pt>
                <c:pt idx="44">
                  <c:v>-326</c:v>
                </c:pt>
                <c:pt idx="45">
                  <c:v>-326</c:v>
                </c:pt>
                <c:pt idx="46">
                  <c:v>-326</c:v>
                </c:pt>
                <c:pt idx="47">
                  <c:v>-326</c:v>
                </c:pt>
                <c:pt idx="48">
                  <c:v>-326</c:v>
                </c:pt>
                <c:pt idx="49">
                  <c:v>-326</c:v>
                </c:pt>
                <c:pt idx="50">
                  <c:v>-326</c:v>
                </c:pt>
                <c:pt idx="51">
                  <c:v>-326</c:v>
                </c:pt>
                <c:pt idx="52">
                  <c:v>-326</c:v>
                </c:pt>
                <c:pt idx="53">
                  <c:v>-326</c:v>
                </c:pt>
                <c:pt idx="54">
                  <c:v>-326</c:v>
                </c:pt>
                <c:pt idx="55">
                  <c:v>-326</c:v>
                </c:pt>
                <c:pt idx="56">
                  <c:v>-326</c:v>
                </c:pt>
                <c:pt idx="57">
                  <c:v>-326</c:v>
                </c:pt>
                <c:pt idx="58">
                  <c:v>-326</c:v>
                </c:pt>
                <c:pt idx="59">
                  <c:v>-326</c:v>
                </c:pt>
                <c:pt idx="60">
                  <c:v>-326</c:v>
                </c:pt>
                <c:pt idx="61">
                  <c:v>-326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[0]!G2_XValues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[0]!G2_Lie</c:f>
              <c:numCache>
                <c:formatCode>General</c:formatCode>
                <c:ptCount val="62"/>
                <c:pt idx="0">
                  <c:v>-329</c:v>
                </c:pt>
                <c:pt idx="1">
                  <c:v>-329</c:v>
                </c:pt>
                <c:pt idx="2">
                  <c:v>-329</c:v>
                </c:pt>
                <c:pt idx="3">
                  <c:v>-329</c:v>
                </c:pt>
                <c:pt idx="4">
                  <c:v>-329</c:v>
                </c:pt>
                <c:pt idx="5">
                  <c:v>-329</c:v>
                </c:pt>
                <c:pt idx="6">
                  <c:v>-329</c:v>
                </c:pt>
                <c:pt idx="7">
                  <c:v>-329</c:v>
                </c:pt>
                <c:pt idx="8">
                  <c:v>-329</c:v>
                </c:pt>
                <c:pt idx="9">
                  <c:v>-329</c:v>
                </c:pt>
                <c:pt idx="10">
                  <c:v>-329</c:v>
                </c:pt>
                <c:pt idx="11">
                  <c:v>-329</c:v>
                </c:pt>
                <c:pt idx="12">
                  <c:v>-329</c:v>
                </c:pt>
                <c:pt idx="13">
                  <c:v>-329</c:v>
                </c:pt>
                <c:pt idx="14">
                  <c:v>-329</c:v>
                </c:pt>
                <c:pt idx="15">
                  <c:v>-329</c:v>
                </c:pt>
                <c:pt idx="16">
                  <c:v>-329</c:v>
                </c:pt>
                <c:pt idx="17">
                  <c:v>-329</c:v>
                </c:pt>
                <c:pt idx="18">
                  <c:v>-329</c:v>
                </c:pt>
                <c:pt idx="19">
                  <c:v>-329</c:v>
                </c:pt>
                <c:pt idx="20">
                  <c:v>-329</c:v>
                </c:pt>
                <c:pt idx="21">
                  <c:v>-329</c:v>
                </c:pt>
                <c:pt idx="22">
                  <c:v>-329</c:v>
                </c:pt>
                <c:pt idx="23">
                  <c:v>-329</c:v>
                </c:pt>
                <c:pt idx="24">
                  <c:v>-329</c:v>
                </c:pt>
                <c:pt idx="25">
                  <c:v>-329</c:v>
                </c:pt>
                <c:pt idx="26">
                  <c:v>-329</c:v>
                </c:pt>
                <c:pt idx="27">
                  <c:v>-329</c:v>
                </c:pt>
                <c:pt idx="28">
                  <c:v>-329</c:v>
                </c:pt>
                <c:pt idx="29">
                  <c:v>-329</c:v>
                </c:pt>
                <c:pt idx="30">
                  <c:v>-329</c:v>
                </c:pt>
                <c:pt idx="31">
                  <c:v>-329</c:v>
                </c:pt>
                <c:pt idx="32">
                  <c:v>-329</c:v>
                </c:pt>
                <c:pt idx="33">
                  <c:v>-329</c:v>
                </c:pt>
                <c:pt idx="34">
                  <c:v>-329</c:v>
                </c:pt>
                <c:pt idx="35">
                  <c:v>-329</c:v>
                </c:pt>
                <c:pt idx="36">
                  <c:v>-329</c:v>
                </c:pt>
                <c:pt idx="37">
                  <c:v>-329</c:v>
                </c:pt>
                <c:pt idx="38">
                  <c:v>-329</c:v>
                </c:pt>
                <c:pt idx="39">
                  <c:v>-329</c:v>
                </c:pt>
                <c:pt idx="40">
                  <c:v>-329</c:v>
                </c:pt>
                <c:pt idx="41">
                  <c:v>-329</c:v>
                </c:pt>
                <c:pt idx="42">
                  <c:v>-329</c:v>
                </c:pt>
                <c:pt idx="43">
                  <c:v>-329</c:v>
                </c:pt>
                <c:pt idx="44">
                  <c:v>-329</c:v>
                </c:pt>
                <c:pt idx="45">
                  <c:v>-329</c:v>
                </c:pt>
                <c:pt idx="46">
                  <c:v>-329</c:v>
                </c:pt>
                <c:pt idx="47">
                  <c:v>-329</c:v>
                </c:pt>
                <c:pt idx="48">
                  <c:v>-329</c:v>
                </c:pt>
                <c:pt idx="49">
                  <c:v>-329</c:v>
                </c:pt>
                <c:pt idx="50">
                  <c:v>-329</c:v>
                </c:pt>
                <c:pt idx="51">
                  <c:v>-329</c:v>
                </c:pt>
                <c:pt idx="52">
                  <c:v>-329</c:v>
                </c:pt>
                <c:pt idx="53">
                  <c:v>-329</c:v>
                </c:pt>
                <c:pt idx="54">
                  <c:v>-329</c:v>
                </c:pt>
                <c:pt idx="55">
                  <c:v>-329</c:v>
                </c:pt>
                <c:pt idx="56">
                  <c:v>-329</c:v>
                </c:pt>
                <c:pt idx="57">
                  <c:v>-329</c:v>
                </c:pt>
                <c:pt idx="58">
                  <c:v>-329</c:v>
                </c:pt>
                <c:pt idx="59">
                  <c:v>-329</c:v>
                </c:pt>
                <c:pt idx="60">
                  <c:v>-329</c:v>
                </c:pt>
                <c:pt idx="61">
                  <c:v>-329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[0]!G2_XValues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[0]!G2_Lse</c:f>
              <c:numCache>
                <c:formatCode>General</c:formatCode>
                <c:ptCount val="62"/>
                <c:pt idx="0">
                  <c:v>-323</c:v>
                </c:pt>
                <c:pt idx="1">
                  <c:v>-323</c:v>
                </c:pt>
                <c:pt idx="2">
                  <c:v>-323</c:v>
                </c:pt>
                <c:pt idx="3">
                  <c:v>-323</c:v>
                </c:pt>
                <c:pt idx="4">
                  <c:v>-323</c:v>
                </c:pt>
                <c:pt idx="5">
                  <c:v>-323</c:v>
                </c:pt>
                <c:pt idx="6">
                  <c:v>-323</c:v>
                </c:pt>
                <c:pt idx="7">
                  <c:v>-323</c:v>
                </c:pt>
                <c:pt idx="8">
                  <c:v>-323</c:v>
                </c:pt>
                <c:pt idx="9">
                  <c:v>-323</c:v>
                </c:pt>
                <c:pt idx="10">
                  <c:v>-323</c:v>
                </c:pt>
                <c:pt idx="11">
                  <c:v>-323</c:v>
                </c:pt>
                <c:pt idx="12">
                  <c:v>-323</c:v>
                </c:pt>
                <c:pt idx="13">
                  <c:v>-323</c:v>
                </c:pt>
                <c:pt idx="14">
                  <c:v>-323</c:v>
                </c:pt>
                <c:pt idx="15">
                  <c:v>-323</c:v>
                </c:pt>
                <c:pt idx="16">
                  <c:v>-323</c:v>
                </c:pt>
                <c:pt idx="17">
                  <c:v>-323</c:v>
                </c:pt>
                <c:pt idx="18">
                  <c:v>-323</c:v>
                </c:pt>
                <c:pt idx="19">
                  <c:v>-323</c:v>
                </c:pt>
                <c:pt idx="20">
                  <c:v>-323</c:v>
                </c:pt>
                <c:pt idx="21">
                  <c:v>-323</c:v>
                </c:pt>
                <c:pt idx="22">
                  <c:v>-323</c:v>
                </c:pt>
                <c:pt idx="23">
                  <c:v>-323</c:v>
                </c:pt>
                <c:pt idx="24">
                  <c:v>-323</c:v>
                </c:pt>
                <c:pt idx="25">
                  <c:v>-323</c:v>
                </c:pt>
                <c:pt idx="26">
                  <c:v>-323</c:v>
                </c:pt>
                <c:pt idx="27">
                  <c:v>-323</c:v>
                </c:pt>
                <c:pt idx="28">
                  <c:v>-323</c:v>
                </c:pt>
                <c:pt idx="29">
                  <c:v>-323</c:v>
                </c:pt>
                <c:pt idx="30">
                  <c:v>-323</c:v>
                </c:pt>
                <c:pt idx="31">
                  <c:v>-323</c:v>
                </c:pt>
                <c:pt idx="32">
                  <c:v>-323</c:v>
                </c:pt>
                <c:pt idx="33">
                  <c:v>-323</c:v>
                </c:pt>
                <c:pt idx="34">
                  <c:v>-323</c:v>
                </c:pt>
                <c:pt idx="35">
                  <c:v>-323</c:v>
                </c:pt>
                <c:pt idx="36">
                  <c:v>-323</c:v>
                </c:pt>
                <c:pt idx="37">
                  <c:v>-323</c:v>
                </c:pt>
                <c:pt idx="38">
                  <c:v>-323</c:v>
                </c:pt>
                <c:pt idx="39">
                  <c:v>-323</c:v>
                </c:pt>
                <c:pt idx="40">
                  <c:v>-323</c:v>
                </c:pt>
                <c:pt idx="41">
                  <c:v>-323</c:v>
                </c:pt>
                <c:pt idx="42">
                  <c:v>-323</c:v>
                </c:pt>
                <c:pt idx="43">
                  <c:v>-323</c:v>
                </c:pt>
                <c:pt idx="44">
                  <c:v>-323</c:v>
                </c:pt>
                <c:pt idx="45">
                  <c:v>-323</c:v>
                </c:pt>
                <c:pt idx="46">
                  <c:v>-323</c:v>
                </c:pt>
                <c:pt idx="47">
                  <c:v>-323</c:v>
                </c:pt>
                <c:pt idx="48">
                  <c:v>-323</c:v>
                </c:pt>
                <c:pt idx="49">
                  <c:v>-323</c:v>
                </c:pt>
                <c:pt idx="50">
                  <c:v>-323</c:v>
                </c:pt>
                <c:pt idx="51">
                  <c:v>-323</c:v>
                </c:pt>
                <c:pt idx="52">
                  <c:v>-323</c:v>
                </c:pt>
                <c:pt idx="53">
                  <c:v>-323</c:v>
                </c:pt>
                <c:pt idx="54">
                  <c:v>-323</c:v>
                </c:pt>
                <c:pt idx="55">
                  <c:v>-323</c:v>
                </c:pt>
                <c:pt idx="56">
                  <c:v>-323</c:v>
                </c:pt>
                <c:pt idx="57">
                  <c:v>-323</c:v>
                </c:pt>
                <c:pt idx="58">
                  <c:v>-323</c:v>
                </c:pt>
                <c:pt idx="59">
                  <c:v>-323</c:v>
                </c:pt>
                <c:pt idx="60">
                  <c:v>-323</c:v>
                </c:pt>
                <c:pt idx="61">
                  <c:v>-323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[0]!G2_XValues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[0]!G2_Data</c:f>
              <c:numCache>
                <c:formatCode>General</c:formatCode>
                <c:ptCount val="62"/>
                <c:pt idx="0">
                  <c:v>-327.92</c:v>
                </c:pt>
                <c:pt idx="1">
                  <c:v>-327.13</c:v>
                </c:pt>
                <c:pt idx="2">
                  <c:v>-327.52</c:v>
                </c:pt>
                <c:pt idx="3">
                  <c:v>-326.60000000000002</c:v>
                </c:pt>
                <c:pt idx="4">
                  <c:v>-327.3</c:v>
                </c:pt>
                <c:pt idx="5">
                  <c:v>-327.5</c:v>
                </c:pt>
                <c:pt idx="6">
                  <c:v>-327</c:v>
                </c:pt>
                <c:pt idx="7">
                  <c:v>-327.9</c:v>
                </c:pt>
                <c:pt idx="8">
                  <c:v>-327.2</c:v>
                </c:pt>
                <c:pt idx="9">
                  <c:v>-327.37</c:v>
                </c:pt>
                <c:pt idx="10">
                  <c:v>-327.39999999999998</c:v>
                </c:pt>
                <c:pt idx="11">
                  <c:v>-327.58999999999997</c:v>
                </c:pt>
                <c:pt idx="12">
                  <c:v>-326.39</c:v>
                </c:pt>
                <c:pt idx="13">
                  <c:v>-327.58</c:v>
                </c:pt>
                <c:pt idx="14">
                  <c:v>-327.93</c:v>
                </c:pt>
                <c:pt idx="15">
                  <c:v>-327.49</c:v>
                </c:pt>
                <c:pt idx="16">
                  <c:v>-328.24</c:v>
                </c:pt>
                <c:pt idx="17">
                  <c:v>-327.44</c:v>
                </c:pt>
                <c:pt idx="18">
                  <c:v>-327.7</c:v>
                </c:pt>
                <c:pt idx="19">
                  <c:v>-327.5</c:v>
                </c:pt>
                <c:pt idx="20">
                  <c:v>-329.2</c:v>
                </c:pt>
                <c:pt idx="21">
                  <c:v>-327.02</c:v>
                </c:pt>
                <c:pt idx="22">
                  <c:v>-328.2</c:v>
                </c:pt>
                <c:pt idx="23">
                  <c:v>-329</c:v>
                </c:pt>
                <c:pt idx="24">
                  <c:v>-328.6</c:v>
                </c:pt>
                <c:pt idx="25">
                  <c:v>-327.23</c:v>
                </c:pt>
                <c:pt idx="26">
                  <c:v>-327.98</c:v>
                </c:pt>
                <c:pt idx="27">
                  <c:v>-327.52999999999997</c:v>
                </c:pt>
                <c:pt idx="28">
                  <c:v>-329.15</c:v>
                </c:pt>
                <c:pt idx="29">
                  <c:v>-328.47</c:v>
                </c:pt>
                <c:pt idx="30">
                  <c:v>-328.21</c:v>
                </c:pt>
                <c:pt idx="31">
                  <c:v>-327.79</c:v>
                </c:pt>
                <c:pt idx="32">
                  <c:v>-328.25</c:v>
                </c:pt>
                <c:pt idx="33">
                  <c:v>-328.45</c:v>
                </c:pt>
                <c:pt idx="34">
                  <c:v>-327</c:v>
                </c:pt>
                <c:pt idx="35">
                  <c:v>-328.52</c:v>
                </c:pt>
                <c:pt idx="36">
                  <c:v>-328.44</c:v>
                </c:pt>
                <c:pt idx="37">
                  <c:v>-326.79000000000002</c:v>
                </c:pt>
                <c:pt idx="38">
                  <c:v>-326.79000000000002</c:v>
                </c:pt>
                <c:pt idx="39">
                  <c:v>-326.85000000000002</c:v>
                </c:pt>
                <c:pt idx="40">
                  <c:v>-327.08</c:v>
                </c:pt>
                <c:pt idx="41">
                  <c:v>-327.17</c:v>
                </c:pt>
                <c:pt idx="42">
                  <c:v>-327.26</c:v>
                </c:pt>
                <c:pt idx="43">
                  <c:v>-327.69</c:v>
                </c:pt>
                <c:pt idx="44">
                  <c:v>-327.57</c:v>
                </c:pt>
                <c:pt idx="45">
                  <c:v>-327.57</c:v>
                </c:pt>
                <c:pt idx="46">
                  <c:v>-327.52</c:v>
                </c:pt>
                <c:pt idx="47">
                  <c:v>-327.01</c:v>
                </c:pt>
                <c:pt idx="48">
                  <c:v>-327.52999999999997</c:v>
                </c:pt>
                <c:pt idx="49">
                  <c:v>-327.56</c:v>
                </c:pt>
                <c:pt idx="50">
                  <c:v>-326.85000000000002</c:v>
                </c:pt>
                <c:pt idx="51">
                  <c:v>-327.99</c:v>
                </c:pt>
                <c:pt idx="52">
                  <c:v>-327.18</c:v>
                </c:pt>
                <c:pt idx="53">
                  <c:v>-328.16</c:v>
                </c:pt>
                <c:pt idx="54">
                  <c:v>-327.71</c:v>
                </c:pt>
                <c:pt idx="55">
                  <c:v>-327.96</c:v>
                </c:pt>
                <c:pt idx="56">
                  <c:v>-328.22</c:v>
                </c:pt>
                <c:pt idx="57">
                  <c:v>-328.45</c:v>
                </c:pt>
                <c:pt idx="58">
                  <c:v>-328.02</c:v>
                </c:pt>
                <c:pt idx="59">
                  <c:v>-328.84</c:v>
                </c:pt>
                <c:pt idx="60">
                  <c:v>-328.19</c:v>
                </c:pt>
                <c:pt idx="61">
                  <c:v>-327.89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203200"/>
        <c:axId val="125205120"/>
      </c:lineChart>
      <c:catAx>
        <c:axId val="125203200"/>
        <c:scaling>
          <c:orientation val="minMax"/>
        </c:scaling>
        <c:delete val="1"/>
        <c:axPos val="b"/>
        <c:majorTickMark val="out"/>
        <c:minorTickMark val="none"/>
        <c:tickLblPos val="nextTo"/>
        <c:crossAx val="125205120"/>
        <c:crosses val="autoZero"/>
        <c:auto val="0"/>
        <c:lblAlgn val="ctr"/>
        <c:lblOffset val="100"/>
        <c:noMultiLvlLbl val="1"/>
      </c:catAx>
      <c:valAx>
        <c:axId val="125205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5203200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[0]!G3_XValues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[0]!G3_Nominal</c:f>
              <c:numCache>
                <c:formatCode>General</c:formatCode>
                <c:ptCount val="62"/>
                <c:pt idx="0">
                  <c:v>990.2</c:v>
                </c:pt>
                <c:pt idx="1">
                  <c:v>990.2</c:v>
                </c:pt>
                <c:pt idx="2">
                  <c:v>990.2</c:v>
                </c:pt>
                <c:pt idx="3">
                  <c:v>990.2</c:v>
                </c:pt>
                <c:pt idx="4">
                  <c:v>990.2</c:v>
                </c:pt>
                <c:pt idx="5">
                  <c:v>990.2</c:v>
                </c:pt>
                <c:pt idx="6">
                  <c:v>990.2</c:v>
                </c:pt>
                <c:pt idx="7">
                  <c:v>990.2</c:v>
                </c:pt>
                <c:pt idx="8">
                  <c:v>990.2</c:v>
                </c:pt>
                <c:pt idx="9">
                  <c:v>990.2</c:v>
                </c:pt>
                <c:pt idx="10">
                  <c:v>990.2</c:v>
                </c:pt>
                <c:pt idx="11">
                  <c:v>990.2</c:v>
                </c:pt>
                <c:pt idx="12">
                  <c:v>990.2</c:v>
                </c:pt>
                <c:pt idx="13">
                  <c:v>990.2</c:v>
                </c:pt>
                <c:pt idx="14">
                  <c:v>990.2</c:v>
                </c:pt>
                <c:pt idx="15">
                  <c:v>990.2</c:v>
                </c:pt>
                <c:pt idx="16">
                  <c:v>990.2</c:v>
                </c:pt>
                <c:pt idx="17">
                  <c:v>990.2</c:v>
                </c:pt>
                <c:pt idx="18">
                  <c:v>990.2</c:v>
                </c:pt>
                <c:pt idx="19">
                  <c:v>990.2</c:v>
                </c:pt>
                <c:pt idx="20">
                  <c:v>990.2</c:v>
                </c:pt>
                <c:pt idx="21">
                  <c:v>990.2</c:v>
                </c:pt>
                <c:pt idx="22">
                  <c:v>990.2</c:v>
                </c:pt>
                <c:pt idx="23">
                  <c:v>990.2</c:v>
                </c:pt>
                <c:pt idx="24">
                  <c:v>990.2</c:v>
                </c:pt>
                <c:pt idx="25">
                  <c:v>990.2</c:v>
                </c:pt>
                <c:pt idx="26">
                  <c:v>990.2</c:v>
                </c:pt>
                <c:pt idx="27">
                  <c:v>990.2</c:v>
                </c:pt>
                <c:pt idx="28">
                  <c:v>990.2</c:v>
                </c:pt>
                <c:pt idx="29">
                  <c:v>990.2</c:v>
                </c:pt>
                <c:pt idx="30">
                  <c:v>990.2</c:v>
                </c:pt>
                <c:pt idx="31">
                  <c:v>990.2</c:v>
                </c:pt>
                <c:pt idx="32">
                  <c:v>990.2</c:v>
                </c:pt>
                <c:pt idx="33">
                  <c:v>990.2</c:v>
                </c:pt>
                <c:pt idx="34">
                  <c:v>990.2</c:v>
                </c:pt>
                <c:pt idx="35">
                  <c:v>990.2</c:v>
                </c:pt>
                <c:pt idx="36">
                  <c:v>990.2</c:v>
                </c:pt>
                <c:pt idx="37">
                  <c:v>990.2</c:v>
                </c:pt>
                <c:pt idx="38">
                  <c:v>990.2</c:v>
                </c:pt>
                <c:pt idx="39">
                  <c:v>990.2</c:v>
                </c:pt>
                <c:pt idx="40">
                  <c:v>990.2</c:v>
                </c:pt>
                <c:pt idx="41">
                  <c:v>990.2</c:v>
                </c:pt>
                <c:pt idx="42">
                  <c:v>990.2</c:v>
                </c:pt>
                <c:pt idx="43">
                  <c:v>990.2</c:v>
                </c:pt>
                <c:pt idx="44">
                  <c:v>990.2</c:v>
                </c:pt>
                <c:pt idx="45">
                  <c:v>990.2</c:v>
                </c:pt>
                <c:pt idx="46">
                  <c:v>990.2</c:v>
                </c:pt>
                <c:pt idx="47">
                  <c:v>990.2</c:v>
                </c:pt>
                <c:pt idx="48">
                  <c:v>990.2</c:v>
                </c:pt>
                <c:pt idx="49">
                  <c:v>990.2</c:v>
                </c:pt>
                <c:pt idx="50">
                  <c:v>990.2</c:v>
                </c:pt>
                <c:pt idx="51">
                  <c:v>990.2</c:v>
                </c:pt>
                <c:pt idx="52">
                  <c:v>990.2</c:v>
                </c:pt>
                <c:pt idx="53">
                  <c:v>990.2</c:v>
                </c:pt>
                <c:pt idx="54">
                  <c:v>990.2</c:v>
                </c:pt>
                <c:pt idx="55">
                  <c:v>990.2</c:v>
                </c:pt>
                <c:pt idx="56">
                  <c:v>990.2</c:v>
                </c:pt>
                <c:pt idx="57">
                  <c:v>990.2</c:v>
                </c:pt>
                <c:pt idx="58">
                  <c:v>990.2</c:v>
                </c:pt>
                <c:pt idx="59">
                  <c:v>990.2</c:v>
                </c:pt>
                <c:pt idx="60">
                  <c:v>990.2</c:v>
                </c:pt>
                <c:pt idx="61">
                  <c:v>990.2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[0]!G3_XValues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[0]!G3_Lie</c:f>
              <c:numCache>
                <c:formatCode>General</c:formatCode>
                <c:ptCount val="62"/>
                <c:pt idx="0">
                  <c:v>987.2</c:v>
                </c:pt>
                <c:pt idx="1">
                  <c:v>987.2</c:v>
                </c:pt>
                <c:pt idx="2">
                  <c:v>987.2</c:v>
                </c:pt>
                <c:pt idx="3">
                  <c:v>987.2</c:v>
                </c:pt>
                <c:pt idx="4">
                  <c:v>987.2</c:v>
                </c:pt>
                <c:pt idx="5">
                  <c:v>987.2</c:v>
                </c:pt>
                <c:pt idx="6">
                  <c:v>987.2</c:v>
                </c:pt>
                <c:pt idx="7">
                  <c:v>987.2</c:v>
                </c:pt>
                <c:pt idx="8">
                  <c:v>987.2</c:v>
                </c:pt>
                <c:pt idx="9">
                  <c:v>987.2</c:v>
                </c:pt>
                <c:pt idx="10">
                  <c:v>987.2</c:v>
                </c:pt>
                <c:pt idx="11">
                  <c:v>987.2</c:v>
                </c:pt>
                <c:pt idx="12">
                  <c:v>987.2</c:v>
                </c:pt>
                <c:pt idx="13">
                  <c:v>987.2</c:v>
                </c:pt>
                <c:pt idx="14">
                  <c:v>987.2</c:v>
                </c:pt>
                <c:pt idx="15">
                  <c:v>987.2</c:v>
                </c:pt>
                <c:pt idx="16">
                  <c:v>987.2</c:v>
                </c:pt>
                <c:pt idx="17">
                  <c:v>987.2</c:v>
                </c:pt>
                <c:pt idx="18">
                  <c:v>987.2</c:v>
                </c:pt>
                <c:pt idx="19">
                  <c:v>987.2</c:v>
                </c:pt>
                <c:pt idx="20">
                  <c:v>987.2</c:v>
                </c:pt>
                <c:pt idx="21">
                  <c:v>987.2</c:v>
                </c:pt>
                <c:pt idx="22">
                  <c:v>987.2</c:v>
                </c:pt>
                <c:pt idx="23">
                  <c:v>987.2</c:v>
                </c:pt>
                <c:pt idx="24">
                  <c:v>987.2</c:v>
                </c:pt>
                <c:pt idx="25">
                  <c:v>987.2</c:v>
                </c:pt>
                <c:pt idx="26">
                  <c:v>987.2</c:v>
                </c:pt>
                <c:pt idx="27">
                  <c:v>987.2</c:v>
                </c:pt>
                <c:pt idx="28">
                  <c:v>987.2</c:v>
                </c:pt>
                <c:pt idx="29">
                  <c:v>987.2</c:v>
                </c:pt>
                <c:pt idx="30">
                  <c:v>987.2</c:v>
                </c:pt>
                <c:pt idx="31">
                  <c:v>987.2</c:v>
                </c:pt>
                <c:pt idx="32">
                  <c:v>987.2</c:v>
                </c:pt>
                <c:pt idx="33">
                  <c:v>987.2</c:v>
                </c:pt>
                <c:pt idx="34">
                  <c:v>987.2</c:v>
                </c:pt>
                <c:pt idx="35">
                  <c:v>987.2</c:v>
                </c:pt>
                <c:pt idx="36">
                  <c:v>987.2</c:v>
                </c:pt>
                <c:pt idx="37">
                  <c:v>987.2</c:v>
                </c:pt>
                <c:pt idx="38">
                  <c:v>987.2</c:v>
                </c:pt>
                <c:pt idx="39">
                  <c:v>987.2</c:v>
                </c:pt>
                <c:pt idx="40">
                  <c:v>987.2</c:v>
                </c:pt>
                <c:pt idx="41">
                  <c:v>987.2</c:v>
                </c:pt>
                <c:pt idx="42">
                  <c:v>987.2</c:v>
                </c:pt>
                <c:pt idx="43">
                  <c:v>987.2</c:v>
                </c:pt>
                <c:pt idx="44">
                  <c:v>987.2</c:v>
                </c:pt>
                <c:pt idx="45">
                  <c:v>987.2</c:v>
                </c:pt>
                <c:pt idx="46">
                  <c:v>987.2</c:v>
                </c:pt>
                <c:pt idx="47">
                  <c:v>987.2</c:v>
                </c:pt>
                <c:pt idx="48">
                  <c:v>987.2</c:v>
                </c:pt>
                <c:pt idx="49">
                  <c:v>987.2</c:v>
                </c:pt>
                <c:pt idx="50">
                  <c:v>987.2</c:v>
                </c:pt>
                <c:pt idx="51">
                  <c:v>987.2</c:v>
                </c:pt>
                <c:pt idx="52">
                  <c:v>987.2</c:v>
                </c:pt>
                <c:pt idx="53">
                  <c:v>987.2</c:v>
                </c:pt>
                <c:pt idx="54">
                  <c:v>987.2</c:v>
                </c:pt>
                <c:pt idx="55">
                  <c:v>987.2</c:v>
                </c:pt>
                <c:pt idx="56">
                  <c:v>987.2</c:v>
                </c:pt>
                <c:pt idx="57">
                  <c:v>987.2</c:v>
                </c:pt>
                <c:pt idx="58">
                  <c:v>987.2</c:v>
                </c:pt>
                <c:pt idx="59">
                  <c:v>987.2</c:v>
                </c:pt>
                <c:pt idx="60">
                  <c:v>987.2</c:v>
                </c:pt>
                <c:pt idx="61">
                  <c:v>987.2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[0]!G3_XValues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[0]!G3_Lse</c:f>
              <c:numCache>
                <c:formatCode>General</c:formatCode>
                <c:ptCount val="62"/>
                <c:pt idx="0">
                  <c:v>993.2</c:v>
                </c:pt>
                <c:pt idx="1">
                  <c:v>993.2</c:v>
                </c:pt>
                <c:pt idx="2">
                  <c:v>993.2</c:v>
                </c:pt>
                <c:pt idx="3">
                  <c:v>993.2</c:v>
                </c:pt>
                <c:pt idx="4">
                  <c:v>993.2</c:v>
                </c:pt>
                <c:pt idx="5">
                  <c:v>993.2</c:v>
                </c:pt>
                <c:pt idx="6">
                  <c:v>993.2</c:v>
                </c:pt>
                <c:pt idx="7">
                  <c:v>993.2</c:v>
                </c:pt>
                <c:pt idx="8">
                  <c:v>993.2</c:v>
                </c:pt>
                <c:pt idx="9">
                  <c:v>993.2</c:v>
                </c:pt>
                <c:pt idx="10">
                  <c:v>993.2</c:v>
                </c:pt>
                <c:pt idx="11">
                  <c:v>993.2</c:v>
                </c:pt>
                <c:pt idx="12">
                  <c:v>993.2</c:v>
                </c:pt>
                <c:pt idx="13">
                  <c:v>993.2</c:v>
                </c:pt>
                <c:pt idx="14">
                  <c:v>993.2</c:v>
                </c:pt>
                <c:pt idx="15">
                  <c:v>993.2</c:v>
                </c:pt>
                <c:pt idx="16">
                  <c:v>993.2</c:v>
                </c:pt>
                <c:pt idx="17">
                  <c:v>993.2</c:v>
                </c:pt>
                <c:pt idx="18">
                  <c:v>993.2</c:v>
                </c:pt>
                <c:pt idx="19">
                  <c:v>993.2</c:v>
                </c:pt>
                <c:pt idx="20">
                  <c:v>993.2</c:v>
                </c:pt>
                <c:pt idx="21">
                  <c:v>993.2</c:v>
                </c:pt>
                <c:pt idx="22">
                  <c:v>993.2</c:v>
                </c:pt>
                <c:pt idx="23">
                  <c:v>993.2</c:v>
                </c:pt>
                <c:pt idx="24">
                  <c:v>993.2</c:v>
                </c:pt>
                <c:pt idx="25">
                  <c:v>993.2</c:v>
                </c:pt>
                <c:pt idx="26">
                  <c:v>993.2</c:v>
                </c:pt>
                <c:pt idx="27">
                  <c:v>993.2</c:v>
                </c:pt>
                <c:pt idx="28">
                  <c:v>993.2</c:v>
                </c:pt>
                <c:pt idx="29">
                  <c:v>993.2</c:v>
                </c:pt>
                <c:pt idx="30">
                  <c:v>993.2</c:v>
                </c:pt>
                <c:pt idx="31">
                  <c:v>993.2</c:v>
                </c:pt>
                <c:pt idx="32">
                  <c:v>993.2</c:v>
                </c:pt>
                <c:pt idx="33">
                  <c:v>993.2</c:v>
                </c:pt>
                <c:pt idx="34">
                  <c:v>993.2</c:v>
                </c:pt>
                <c:pt idx="35">
                  <c:v>993.2</c:v>
                </c:pt>
                <c:pt idx="36">
                  <c:v>993.2</c:v>
                </c:pt>
                <c:pt idx="37">
                  <c:v>993.2</c:v>
                </c:pt>
                <c:pt idx="38">
                  <c:v>993.2</c:v>
                </c:pt>
                <c:pt idx="39">
                  <c:v>993.2</c:v>
                </c:pt>
                <c:pt idx="40">
                  <c:v>993.2</c:v>
                </c:pt>
                <c:pt idx="41">
                  <c:v>993.2</c:v>
                </c:pt>
                <c:pt idx="42">
                  <c:v>993.2</c:v>
                </c:pt>
                <c:pt idx="43">
                  <c:v>993.2</c:v>
                </c:pt>
                <c:pt idx="44">
                  <c:v>993.2</c:v>
                </c:pt>
                <c:pt idx="45">
                  <c:v>993.2</c:v>
                </c:pt>
                <c:pt idx="46">
                  <c:v>993.2</c:v>
                </c:pt>
                <c:pt idx="47">
                  <c:v>993.2</c:v>
                </c:pt>
                <c:pt idx="48">
                  <c:v>993.2</c:v>
                </c:pt>
                <c:pt idx="49">
                  <c:v>993.2</c:v>
                </c:pt>
                <c:pt idx="50">
                  <c:v>993.2</c:v>
                </c:pt>
                <c:pt idx="51">
                  <c:v>993.2</c:v>
                </c:pt>
                <c:pt idx="52">
                  <c:v>993.2</c:v>
                </c:pt>
                <c:pt idx="53">
                  <c:v>993.2</c:v>
                </c:pt>
                <c:pt idx="54">
                  <c:v>993.2</c:v>
                </c:pt>
                <c:pt idx="55">
                  <c:v>993.2</c:v>
                </c:pt>
                <c:pt idx="56">
                  <c:v>993.2</c:v>
                </c:pt>
                <c:pt idx="57">
                  <c:v>993.2</c:v>
                </c:pt>
                <c:pt idx="58">
                  <c:v>993.2</c:v>
                </c:pt>
                <c:pt idx="59">
                  <c:v>993.2</c:v>
                </c:pt>
                <c:pt idx="60">
                  <c:v>993.2</c:v>
                </c:pt>
                <c:pt idx="61">
                  <c:v>993.2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[0]!G3_XValues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[0]!G3_Data</c:f>
              <c:numCache>
                <c:formatCode>General</c:formatCode>
                <c:ptCount val="62"/>
                <c:pt idx="0">
                  <c:v>989.14</c:v>
                </c:pt>
                <c:pt idx="1">
                  <c:v>989.95</c:v>
                </c:pt>
                <c:pt idx="2">
                  <c:v>989.61</c:v>
                </c:pt>
                <c:pt idx="3">
                  <c:v>990</c:v>
                </c:pt>
                <c:pt idx="4">
                  <c:v>989.8</c:v>
                </c:pt>
                <c:pt idx="5">
                  <c:v>990.3</c:v>
                </c:pt>
                <c:pt idx="6">
                  <c:v>990.2</c:v>
                </c:pt>
                <c:pt idx="7">
                  <c:v>989.8</c:v>
                </c:pt>
                <c:pt idx="8">
                  <c:v>989.9</c:v>
                </c:pt>
                <c:pt idx="9">
                  <c:v>989.98</c:v>
                </c:pt>
                <c:pt idx="10">
                  <c:v>989.87</c:v>
                </c:pt>
                <c:pt idx="11">
                  <c:v>989.86</c:v>
                </c:pt>
                <c:pt idx="12">
                  <c:v>990.49</c:v>
                </c:pt>
                <c:pt idx="13">
                  <c:v>989.97</c:v>
                </c:pt>
                <c:pt idx="14">
                  <c:v>989.71</c:v>
                </c:pt>
                <c:pt idx="15">
                  <c:v>989.97</c:v>
                </c:pt>
                <c:pt idx="16">
                  <c:v>989.18</c:v>
                </c:pt>
                <c:pt idx="17">
                  <c:v>989.75</c:v>
                </c:pt>
                <c:pt idx="18">
                  <c:v>989.8</c:v>
                </c:pt>
                <c:pt idx="19">
                  <c:v>989.9</c:v>
                </c:pt>
                <c:pt idx="20">
                  <c:v>989.4</c:v>
                </c:pt>
                <c:pt idx="21">
                  <c:v>990</c:v>
                </c:pt>
                <c:pt idx="22">
                  <c:v>989.6</c:v>
                </c:pt>
                <c:pt idx="23">
                  <c:v>989.8</c:v>
                </c:pt>
                <c:pt idx="24">
                  <c:v>990.4</c:v>
                </c:pt>
                <c:pt idx="25">
                  <c:v>989.97</c:v>
                </c:pt>
                <c:pt idx="26">
                  <c:v>990.28</c:v>
                </c:pt>
                <c:pt idx="27">
                  <c:v>989.57</c:v>
                </c:pt>
                <c:pt idx="28">
                  <c:v>989.34</c:v>
                </c:pt>
                <c:pt idx="29">
                  <c:v>989.67</c:v>
                </c:pt>
                <c:pt idx="30">
                  <c:v>990</c:v>
                </c:pt>
                <c:pt idx="31">
                  <c:v>989.66</c:v>
                </c:pt>
                <c:pt idx="32">
                  <c:v>989.47</c:v>
                </c:pt>
                <c:pt idx="33">
                  <c:v>989.51</c:v>
                </c:pt>
                <c:pt idx="34">
                  <c:v>990.2</c:v>
                </c:pt>
                <c:pt idx="35">
                  <c:v>989.12</c:v>
                </c:pt>
                <c:pt idx="36">
                  <c:v>989.85</c:v>
                </c:pt>
                <c:pt idx="37">
                  <c:v>990.24</c:v>
                </c:pt>
                <c:pt idx="38">
                  <c:v>989.87</c:v>
                </c:pt>
                <c:pt idx="39">
                  <c:v>989.55</c:v>
                </c:pt>
                <c:pt idx="40">
                  <c:v>989.99</c:v>
                </c:pt>
                <c:pt idx="41">
                  <c:v>989.72</c:v>
                </c:pt>
                <c:pt idx="42">
                  <c:v>990.13</c:v>
                </c:pt>
                <c:pt idx="43">
                  <c:v>989.8</c:v>
                </c:pt>
                <c:pt idx="44">
                  <c:v>989.57</c:v>
                </c:pt>
                <c:pt idx="45">
                  <c:v>989.9</c:v>
                </c:pt>
                <c:pt idx="46">
                  <c:v>989.7</c:v>
                </c:pt>
                <c:pt idx="47">
                  <c:v>990.12</c:v>
                </c:pt>
                <c:pt idx="48">
                  <c:v>989.59</c:v>
                </c:pt>
                <c:pt idx="49">
                  <c:v>989.53</c:v>
                </c:pt>
                <c:pt idx="50">
                  <c:v>990.6</c:v>
                </c:pt>
                <c:pt idx="51">
                  <c:v>989.3</c:v>
                </c:pt>
                <c:pt idx="52">
                  <c:v>990.23</c:v>
                </c:pt>
                <c:pt idx="53">
                  <c:v>989.59</c:v>
                </c:pt>
                <c:pt idx="54">
                  <c:v>989.37</c:v>
                </c:pt>
                <c:pt idx="55">
                  <c:v>989.41</c:v>
                </c:pt>
                <c:pt idx="56">
                  <c:v>989.71</c:v>
                </c:pt>
                <c:pt idx="57">
                  <c:v>989.51</c:v>
                </c:pt>
                <c:pt idx="58">
                  <c:v>989.26</c:v>
                </c:pt>
                <c:pt idx="59">
                  <c:v>989.33</c:v>
                </c:pt>
                <c:pt idx="60">
                  <c:v>989.03</c:v>
                </c:pt>
                <c:pt idx="61">
                  <c:v>989.09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245312"/>
        <c:axId val="125284352"/>
      </c:lineChart>
      <c:catAx>
        <c:axId val="125245312"/>
        <c:scaling>
          <c:orientation val="minMax"/>
        </c:scaling>
        <c:delete val="1"/>
        <c:axPos val="b"/>
        <c:majorTickMark val="out"/>
        <c:minorTickMark val="none"/>
        <c:tickLblPos val="nextTo"/>
        <c:crossAx val="125284352"/>
        <c:crosses val="autoZero"/>
        <c:auto val="0"/>
        <c:lblAlgn val="ctr"/>
        <c:lblOffset val="100"/>
        <c:noMultiLvlLbl val="1"/>
      </c:catAx>
      <c:valAx>
        <c:axId val="125284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5245312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[0]!G4_XValues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[0]!G4_Nominal</c:f>
              <c:numCache>
                <c:formatCode>General</c:formatCode>
                <c:ptCount val="62"/>
                <c:pt idx="0">
                  <c:v>226.2</c:v>
                </c:pt>
                <c:pt idx="1">
                  <c:v>226.2</c:v>
                </c:pt>
                <c:pt idx="2">
                  <c:v>226.2</c:v>
                </c:pt>
                <c:pt idx="3">
                  <c:v>226.2</c:v>
                </c:pt>
                <c:pt idx="4">
                  <c:v>226.2</c:v>
                </c:pt>
                <c:pt idx="5">
                  <c:v>226.2</c:v>
                </c:pt>
                <c:pt idx="6">
                  <c:v>226.2</c:v>
                </c:pt>
                <c:pt idx="7">
                  <c:v>226.2</c:v>
                </c:pt>
                <c:pt idx="8">
                  <c:v>226.2</c:v>
                </c:pt>
                <c:pt idx="9">
                  <c:v>226.2</c:v>
                </c:pt>
                <c:pt idx="10">
                  <c:v>226.2</c:v>
                </c:pt>
                <c:pt idx="11">
                  <c:v>226.2</c:v>
                </c:pt>
                <c:pt idx="12">
                  <c:v>226.2</c:v>
                </c:pt>
                <c:pt idx="13">
                  <c:v>226.2</c:v>
                </c:pt>
                <c:pt idx="14">
                  <c:v>226.2</c:v>
                </c:pt>
                <c:pt idx="15">
                  <c:v>226.2</c:v>
                </c:pt>
                <c:pt idx="16">
                  <c:v>226.2</c:v>
                </c:pt>
                <c:pt idx="17">
                  <c:v>226.2</c:v>
                </c:pt>
                <c:pt idx="18">
                  <c:v>226.2</c:v>
                </c:pt>
                <c:pt idx="19">
                  <c:v>226.2</c:v>
                </c:pt>
                <c:pt idx="20">
                  <c:v>226.2</c:v>
                </c:pt>
                <c:pt idx="21">
                  <c:v>226.2</c:v>
                </c:pt>
                <c:pt idx="22">
                  <c:v>226.2</c:v>
                </c:pt>
                <c:pt idx="23">
                  <c:v>226.2</c:v>
                </c:pt>
                <c:pt idx="24">
                  <c:v>226.2</c:v>
                </c:pt>
                <c:pt idx="25">
                  <c:v>226.2</c:v>
                </c:pt>
                <c:pt idx="26">
                  <c:v>226.2</c:v>
                </c:pt>
                <c:pt idx="27">
                  <c:v>226.2</c:v>
                </c:pt>
                <c:pt idx="28">
                  <c:v>226.2</c:v>
                </c:pt>
                <c:pt idx="29">
                  <c:v>226.2</c:v>
                </c:pt>
                <c:pt idx="30">
                  <c:v>226.2</c:v>
                </c:pt>
                <c:pt idx="31">
                  <c:v>226.2</c:v>
                </c:pt>
                <c:pt idx="32">
                  <c:v>226.2</c:v>
                </c:pt>
                <c:pt idx="33">
                  <c:v>226.2</c:v>
                </c:pt>
                <c:pt idx="34">
                  <c:v>226.2</c:v>
                </c:pt>
                <c:pt idx="35">
                  <c:v>226.2</c:v>
                </c:pt>
                <c:pt idx="36">
                  <c:v>226.2</c:v>
                </c:pt>
                <c:pt idx="37">
                  <c:v>226.2</c:v>
                </c:pt>
                <c:pt idx="38">
                  <c:v>226.2</c:v>
                </c:pt>
                <c:pt idx="39">
                  <c:v>226.2</c:v>
                </c:pt>
                <c:pt idx="40">
                  <c:v>226.2</c:v>
                </c:pt>
                <c:pt idx="41">
                  <c:v>226.2</c:v>
                </c:pt>
                <c:pt idx="42">
                  <c:v>226.2</c:v>
                </c:pt>
                <c:pt idx="43">
                  <c:v>226.2</c:v>
                </c:pt>
                <c:pt idx="44">
                  <c:v>226.2</c:v>
                </c:pt>
                <c:pt idx="45">
                  <c:v>226.2</c:v>
                </c:pt>
                <c:pt idx="46">
                  <c:v>226.2</c:v>
                </c:pt>
                <c:pt idx="47">
                  <c:v>226.2</c:v>
                </c:pt>
                <c:pt idx="48">
                  <c:v>226.2</c:v>
                </c:pt>
                <c:pt idx="49">
                  <c:v>226.2</c:v>
                </c:pt>
                <c:pt idx="50">
                  <c:v>226.2</c:v>
                </c:pt>
                <c:pt idx="51">
                  <c:v>226.2</c:v>
                </c:pt>
                <c:pt idx="52">
                  <c:v>226.2</c:v>
                </c:pt>
                <c:pt idx="53">
                  <c:v>226.2</c:v>
                </c:pt>
                <c:pt idx="54">
                  <c:v>226.2</c:v>
                </c:pt>
                <c:pt idx="55">
                  <c:v>226.2</c:v>
                </c:pt>
                <c:pt idx="56">
                  <c:v>226.2</c:v>
                </c:pt>
                <c:pt idx="57">
                  <c:v>226.2</c:v>
                </c:pt>
                <c:pt idx="58">
                  <c:v>226.2</c:v>
                </c:pt>
                <c:pt idx="59">
                  <c:v>226.2</c:v>
                </c:pt>
                <c:pt idx="60">
                  <c:v>226.2</c:v>
                </c:pt>
                <c:pt idx="61">
                  <c:v>226.2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[0]!G4_XValues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[0]!G4_Lie</c:f>
              <c:numCache>
                <c:formatCode>General</c:formatCode>
                <c:ptCount val="62"/>
                <c:pt idx="0">
                  <c:v>223.2</c:v>
                </c:pt>
                <c:pt idx="1">
                  <c:v>223.2</c:v>
                </c:pt>
                <c:pt idx="2">
                  <c:v>223.2</c:v>
                </c:pt>
                <c:pt idx="3">
                  <c:v>223.2</c:v>
                </c:pt>
                <c:pt idx="4">
                  <c:v>223.2</c:v>
                </c:pt>
                <c:pt idx="5">
                  <c:v>223.2</c:v>
                </c:pt>
                <c:pt idx="6">
                  <c:v>223.2</c:v>
                </c:pt>
                <c:pt idx="7">
                  <c:v>223.2</c:v>
                </c:pt>
                <c:pt idx="8">
                  <c:v>223.2</c:v>
                </c:pt>
                <c:pt idx="9">
                  <c:v>223.2</c:v>
                </c:pt>
                <c:pt idx="10">
                  <c:v>223.2</c:v>
                </c:pt>
                <c:pt idx="11">
                  <c:v>223.2</c:v>
                </c:pt>
                <c:pt idx="12">
                  <c:v>223.2</c:v>
                </c:pt>
                <c:pt idx="13">
                  <c:v>223.2</c:v>
                </c:pt>
                <c:pt idx="14">
                  <c:v>223.2</c:v>
                </c:pt>
                <c:pt idx="15">
                  <c:v>223.2</c:v>
                </c:pt>
                <c:pt idx="16">
                  <c:v>223.2</c:v>
                </c:pt>
                <c:pt idx="17">
                  <c:v>223.2</c:v>
                </c:pt>
                <c:pt idx="18">
                  <c:v>223.2</c:v>
                </c:pt>
                <c:pt idx="19">
                  <c:v>223.2</c:v>
                </c:pt>
                <c:pt idx="20">
                  <c:v>223.2</c:v>
                </c:pt>
                <c:pt idx="21">
                  <c:v>223.2</c:v>
                </c:pt>
                <c:pt idx="22">
                  <c:v>223.2</c:v>
                </c:pt>
                <c:pt idx="23">
                  <c:v>223.2</c:v>
                </c:pt>
                <c:pt idx="24">
                  <c:v>223.2</c:v>
                </c:pt>
                <c:pt idx="25">
                  <c:v>223.2</c:v>
                </c:pt>
                <c:pt idx="26">
                  <c:v>223.2</c:v>
                </c:pt>
                <c:pt idx="27">
                  <c:v>223.2</c:v>
                </c:pt>
                <c:pt idx="28">
                  <c:v>223.2</c:v>
                </c:pt>
                <c:pt idx="29">
                  <c:v>223.2</c:v>
                </c:pt>
                <c:pt idx="30">
                  <c:v>223.2</c:v>
                </c:pt>
                <c:pt idx="31">
                  <c:v>223.2</c:v>
                </c:pt>
                <c:pt idx="32">
                  <c:v>223.2</c:v>
                </c:pt>
                <c:pt idx="33">
                  <c:v>223.2</c:v>
                </c:pt>
                <c:pt idx="34">
                  <c:v>223.2</c:v>
                </c:pt>
                <c:pt idx="35">
                  <c:v>223.2</c:v>
                </c:pt>
                <c:pt idx="36">
                  <c:v>223.2</c:v>
                </c:pt>
                <c:pt idx="37">
                  <c:v>223.2</c:v>
                </c:pt>
                <c:pt idx="38">
                  <c:v>223.2</c:v>
                </c:pt>
                <c:pt idx="39">
                  <c:v>223.2</c:v>
                </c:pt>
                <c:pt idx="40">
                  <c:v>223.2</c:v>
                </c:pt>
                <c:pt idx="41">
                  <c:v>223.2</c:v>
                </c:pt>
                <c:pt idx="42">
                  <c:v>223.2</c:v>
                </c:pt>
                <c:pt idx="43">
                  <c:v>223.2</c:v>
                </c:pt>
                <c:pt idx="44">
                  <c:v>223.2</c:v>
                </c:pt>
                <c:pt idx="45">
                  <c:v>223.2</c:v>
                </c:pt>
                <c:pt idx="46">
                  <c:v>223.2</c:v>
                </c:pt>
                <c:pt idx="47">
                  <c:v>223.2</c:v>
                </c:pt>
                <c:pt idx="48">
                  <c:v>223.2</c:v>
                </c:pt>
                <c:pt idx="49">
                  <c:v>223.2</c:v>
                </c:pt>
                <c:pt idx="50">
                  <c:v>223.2</c:v>
                </c:pt>
                <c:pt idx="51">
                  <c:v>223.2</c:v>
                </c:pt>
                <c:pt idx="52">
                  <c:v>223.2</c:v>
                </c:pt>
                <c:pt idx="53">
                  <c:v>223.2</c:v>
                </c:pt>
                <c:pt idx="54">
                  <c:v>223.2</c:v>
                </c:pt>
                <c:pt idx="55">
                  <c:v>223.2</c:v>
                </c:pt>
                <c:pt idx="56">
                  <c:v>223.2</c:v>
                </c:pt>
                <c:pt idx="57">
                  <c:v>223.2</c:v>
                </c:pt>
                <c:pt idx="58">
                  <c:v>223.2</c:v>
                </c:pt>
                <c:pt idx="59">
                  <c:v>223.2</c:v>
                </c:pt>
                <c:pt idx="60">
                  <c:v>223.2</c:v>
                </c:pt>
                <c:pt idx="61">
                  <c:v>223.2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[0]!G4_XValues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[0]!G4_Lse</c:f>
              <c:numCache>
                <c:formatCode>General</c:formatCode>
                <c:ptCount val="62"/>
                <c:pt idx="0">
                  <c:v>229.2</c:v>
                </c:pt>
                <c:pt idx="1">
                  <c:v>229.2</c:v>
                </c:pt>
                <c:pt idx="2">
                  <c:v>229.2</c:v>
                </c:pt>
                <c:pt idx="3">
                  <c:v>229.2</c:v>
                </c:pt>
                <c:pt idx="4">
                  <c:v>229.2</c:v>
                </c:pt>
                <c:pt idx="5">
                  <c:v>229.2</c:v>
                </c:pt>
                <c:pt idx="6">
                  <c:v>229.2</c:v>
                </c:pt>
                <c:pt idx="7">
                  <c:v>229.2</c:v>
                </c:pt>
                <c:pt idx="8">
                  <c:v>229.2</c:v>
                </c:pt>
                <c:pt idx="9">
                  <c:v>229.2</c:v>
                </c:pt>
                <c:pt idx="10">
                  <c:v>229.2</c:v>
                </c:pt>
                <c:pt idx="11">
                  <c:v>229.2</c:v>
                </c:pt>
                <c:pt idx="12">
                  <c:v>229.2</c:v>
                </c:pt>
                <c:pt idx="13">
                  <c:v>229.2</c:v>
                </c:pt>
                <c:pt idx="14">
                  <c:v>229.2</c:v>
                </c:pt>
                <c:pt idx="15">
                  <c:v>229.2</c:v>
                </c:pt>
                <c:pt idx="16">
                  <c:v>229.2</c:v>
                </c:pt>
                <c:pt idx="17">
                  <c:v>229.2</c:v>
                </c:pt>
                <c:pt idx="18">
                  <c:v>229.2</c:v>
                </c:pt>
                <c:pt idx="19">
                  <c:v>229.2</c:v>
                </c:pt>
                <c:pt idx="20">
                  <c:v>229.2</c:v>
                </c:pt>
                <c:pt idx="21">
                  <c:v>229.2</c:v>
                </c:pt>
                <c:pt idx="22">
                  <c:v>229.2</c:v>
                </c:pt>
                <c:pt idx="23">
                  <c:v>229.2</c:v>
                </c:pt>
                <c:pt idx="24">
                  <c:v>229.2</c:v>
                </c:pt>
                <c:pt idx="25">
                  <c:v>229.2</c:v>
                </c:pt>
                <c:pt idx="26">
                  <c:v>229.2</c:v>
                </c:pt>
                <c:pt idx="27">
                  <c:v>229.2</c:v>
                </c:pt>
                <c:pt idx="28">
                  <c:v>229.2</c:v>
                </c:pt>
                <c:pt idx="29">
                  <c:v>229.2</c:v>
                </c:pt>
                <c:pt idx="30">
                  <c:v>229.2</c:v>
                </c:pt>
                <c:pt idx="31">
                  <c:v>229.2</c:v>
                </c:pt>
                <c:pt idx="32">
                  <c:v>229.2</c:v>
                </c:pt>
                <c:pt idx="33">
                  <c:v>229.2</c:v>
                </c:pt>
                <c:pt idx="34">
                  <c:v>229.2</c:v>
                </c:pt>
                <c:pt idx="35">
                  <c:v>229.2</c:v>
                </c:pt>
                <c:pt idx="36">
                  <c:v>229.2</c:v>
                </c:pt>
                <c:pt idx="37">
                  <c:v>229.2</c:v>
                </c:pt>
                <c:pt idx="38">
                  <c:v>229.2</c:v>
                </c:pt>
                <c:pt idx="39">
                  <c:v>229.2</c:v>
                </c:pt>
                <c:pt idx="40">
                  <c:v>229.2</c:v>
                </c:pt>
                <c:pt idx="41">
                  <c:v>229.2</c:v>
                </c:pt>
                <c:pt idx="42">
                  <c:v>229.2</c:v>
                </c:pt>
                <c:pt idx="43">
                  <c:v>229.2</c:v>
                </c:pt>
                <c:pt idx="44">
                  <c:v>229.2</c:v>
                </c:pt>
                <c:pt idx="45">
                  <c:v>229.2</c:v>
                </c:pt>
                <c:pt idx="46">
                  <c:v>229.2</c:v>
                </c:pt>
                <c:pt idx="47">
                  <c:v>229.2</c:v>
                </c:pt>
                <c:pt idx="48">
                  <c:v>229.2</c:v>
                </c:pt>
                <c:pt idx="49">
                  <c:v>229.2</c:v>
                </c:pt>
                <c:pt idx="50">
                  <c:v>229.2</c:v>
                </c:pt>
                <c:pt idx="51">
                  <c:v>229.2</c:v>
                </c:pt>
                <c:pt idx="52">
                  <c:v>229.2</c:v>
                </c:pt>
                <c:pt idx="53">
                  <c:v>229.2</c:v>
                </c:pt>
                <c:pt idx="54">
                  <c:v>229.2</c:v>
                </c:pt>
                <c:pt idx="55">
                  <c:v>229.2</c:v>
                </c:pt>
                <c:pt idx="56">
                  <c:v>229.2</c:v>
                </c:pt>
                <c:pt idx="57">
                  <c:v>229.2</c:v>
                </c:pt>
                <c:pt idx="58">
                  <c:v>229.2</c:v>
                </c:pt>
                <c:pt idx="59">
                  <c:v>229.2</c:v>
                </c:pt>
                <c:pt idx="60">
                  <c:v>229.2</c:v>
                </c:pt>
                <c:pt idx="61">
                  <c:v>229.2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[0]!G4_XValues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[0]!G4_Data</c:f>
              <c:numCache>
                <c:formatCode>General</c:formatCode>
                <c:ptCount val="62"/>
                <c:pt idx="0">
                  <c:v>225.94</c:v>
                </c:pt>
                <c:pt idx="1">
                  <c:v>226.49</c:v>
                </c:pt>
                <c:pt idx="2">
                  <c:v>226.41</c:v>
                </c:pt>
                <c:pt idx="3">
                  <c:v>226.7</c:v>
                </c:pt>
                <c:pt idx="4">
                  <c:v>226.3</c:v>
                </c:pt>
                <c:pt idx="5">
                  <c:v>227.2</c:v>
                </c:pt>
                <c:pt idx="6">
                  <c:v>226.1</c:v>
                </c:pt>
                <c:pt idx="7">
                  <c:v>227.8</c:v>
                </c:pt>
                <c:pt idx="8">
                  <c:v>227.8</c:v>
                </c:pt>
                <c:pt idx="9">
                  <c:v>227.24</c:v>
                </c:pt>
                <c:pt idx="10">
                  <c:v>226.15</c:v>
                </c:pt>
                <c:pt idx="11">
                  <c:v>227.81</c:v>
                </c:pt>
                <c:pt idx="12">
                  <c:v>227.1</c:v>
                </c:pt>
                <c:pt idx="13">
                  <c:v>226.61</c:v>
                </c:pt>
                <c:pt idx="14">
                  <c:v>226.48</c:v>
                </c:pt>
                <c:pt idx="15">
                  <c:v>226.9</c:v>
                </c:pt>
                <c:pt idx="16">
                  <c:v>226.54</c:v>
                </c:pt>
                <c:pt idx="17">
                  <c:v>226.12</c:v>
                </c:pt>
                <c:pt idx="18">
                  <c:v>226.7</c:v>
                </c:pt>
                <c:pt idx="19">
                  <c:v>226.9</c:v>
                </c:pt>
                <c:pt idx="20">
                  <c:v>227</c:v>
                </c:pt>
                <c:pt idx="21">
                  <c:v>225.38</c:v>
                </c:pt>
                <c:pt idx="22">
                  <c:v>227.4</c:v>
                </c:pt>
                <c:pt idx="23">
                  <c:v>226.2</c:v>
                </c:pt>
                <c:pt idx="24">
                  <c:v>226.9</c:v>
                </c:pt>
                <c:pt idx="25">
                  <c:v>227.18</c:v>
                </c:pt>
                <c:pt idx="26">
                  <c:v>226.75</c:v>
                </c:pt>
                <c:pt idx="27">
                  <c:v>225.68</c:v>
                </c:pt>
                <c:pt idx="28">
                  <c:v>226.95</c:v>
                </c:pt>
                <c:pt idx="29">
                  <c:v>227.18</c:v>
                </c:pt>
                <c:pt idx="30">
                  <c:v>227.2</c:v>
                </c:pt>
                <c:pt idx="31">
                  <c:v>226.32</c:v>
                </c:pt>
                <c:pt idx="32">
                  <c:v>227.29</c:v>
                </c:pt>
                <c:pt idx="33">
                  <c:v>227.17</c:v>
                </c:pt>
                <c:pt idx="34">
                  <c:v>227.3</c:v>
                </c:pt>
                <c:pt idx="35">
                  <c:v>227.84</c:v>
                </c:pt>
                <c:pt idx="36">
                  <c:v>226.27</c:v>
                </c:pt>
                <c:pt idx="37">
                  <c:v>226.44</c:v>
                </c:pt>
                <c:pt idx="38">
                  <c:v>226.54</c:v>
                </c:pt>
                <c:pt idx="39">
                  <c:v>226.75</c:v>
                </c:pt>
                <c:pt idx="40">
                  <c:v>226.19</c:v>
                </c:pt>
                <c:pt idx="41">
                  <c:v>226.74</c:v>
                </c:pt>
                <c:pt idx="42">
                  <c:v>226.97</c:v>
                </c:pt>
                <c:pt idx="43">
                  <c:v>227.51</c:v>
                </c:pt>
                <c:pt idx="44">
                  <c:v>227.44</c:v>
                </c:pt>
                <c:pt idx="45">
                  <c:v>227.1</c:v>
                </c:pt>
                <c:pt idx="46">
                  <c:v>226.53</c:v>
                </c:pt>
                <c:pt idx="47">
                  <c:v>227.31</c:v>
                </c:pt>
                <c:pt idx="48">
                  <c:v>227.08</c:v>
                </c:pt>
                <c:pt idx="49">
                  <c:v>227.47</c:v>
                </c:pt>
                <c:pt idx="50">
                  <c:v>227.25</c:v>
                </c:pt>
                <c:pt idx="51">
                  <c:v>227.04</c:v>
                </c:pt>
                <c:pt idx="52">
                  <c:v>227.77</c:v>
                </c:pt>
                <c:pt idx="53">
                  <c:v>226.93</c:v>
                </c:pt>
                <c:pt idx="54">
                  <c:v>227.93</c:v>
                </c:pt>
                <c:pt idx="55">
                  <c:v>227.85</c:v>
                </c:pt>
                <c:pt idx="56">
                  <c:v>226.42</c:v>
                </c:pt>
                <c:pt idx="57">
                  <c:v>227.4</c:v>
                </c:pt>
                <c:pt idx="58">
                  <c:v>227.75</c:v>
                </c:pt>
                <c:pt idx="59">
                  <c:v>227.06</c:v>
                </c:pt>
                <c:pt idx="60">
                  <c:v>225.91</c:v>
                </c:pt>
                <c:pt idx="61">
                  <c:v>226.98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09312"/>
        <c:axId val="125711488"/>
      </c:lineChart>
      <c:catAx>
        <c:axId val="125709312"/>
        <c:scaling>
          <c:orientation val="minMax"/>
        </c:scaling>
        <c:delete val="1"/>
        <c:axPos val="b"/>
        <c:majorTickMark val="out"/>
        <c:minorTickMark val="none"/>
        <c:tickLblPos val="nextTo"/>
        <c:crossAx val="125711488"/>
        <c:crosses val="autoZero"/>
        <c:auto val="0"/>
        <c:lblAlgn val="ctr"/>
        <c:lblOffset val="100"/>
        <c:noMultiLvlLbl val="1"/>
      </c:catAx>
      <c:valAx>
        <c:axId val="125711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5709312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[0]!G5_XValues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[0]!G5_Nominal</c:f>
              <c:numCache>
                <c:formatCode>General</c:formatCode>
                <c:ptCount val="62"/>
                <c:pt idx="0">
                  <c:v>326</c:v>
                </c:pt>
                <c:pt idx="1">
                  <c:v>326</c:v>
                </c:pt>
                <c:pt idx="2">
                  <c:v>326</c:v>
                </c:pt>
                <c:pt idx="3">
                  <c:v>326</c:v>
                </c:pt>
                <c:pt idx="4">
                  <c:v>326</c:v>
                </c:pt>
                <c:pt idx="5">
                  <c:v>326</c:v>
                </c:pt>
                <c:pt idx="6">
                  <c:v>326</c:v>
                </c:pt>
                <c:pt idx="7">
                  <c:v>326</c:v>
                </c:pt>
                <c:pt idx="8">
                  <c:v>326</c:v>
                </c:pt>
                <c:pt idx="9">
                  <c:v>326</c:v>
                </c:pt>
                <c:pt idx="10">
                  <c:v>326</c:v>
                </c:pt>
                <c:pt idx="11">
                  <c:v>326</c:v>
                </c:pt>
                <c:pt idx="12">
                  <c:v>326</c:v>
                </c:pt>
                <c:pt idx="13">
                  <c:v>326</c:v>
                </c:pt>
                <c:pt idx="14">
                  <c:v>326</c:v>
                </c:pt>
                <c:pt idx="15">
                  <c:v>326</c:v>
                </c:pt>
                <c:pt idx="16">
                  <c:v>326</c:v>
                </c:pt>
                <c:pt idx="17">
                  <c:v>326</c:v>
                </c:pt>
                <c:pt idx="18">
                  <c:v>326</c:v>
                </c:pt>
                <c:pt idx="19">
                  <c:v>326</c:v>
                </c:pt>
                <c:pt idx="20">
                  <c:v>326</c:v>
                </c:pt>
                <c:pt idx="21">
                  <c:v>326</c:v>
                </c:pt>
                <c:pt idx="22">
                  <c:v>326</c:v>
                </c:pt>
                <c:pt idx="23">
                  <c:v>326</c:v>
                </c:pt>
                <c:pt idx="24">
                  <c:v>326</c:v>
                </c:pt>
                <c:pt idx="25">
                  <c:v>326</c:v>
                </c:pt>
                <c:pt idx="26">
                  <c:v>326</c:v>
                </c:pt>
                <c:pt idx="27">
                  <c:v>326</c:v>
                </c:pt>
                <c:pt idx="28">
                  <c:v>326</c:v>
                </c:pt>
                <c:pt idx="29">
                  <c:v>326</c:v>
                </c:pt>
                <c:pt idx="30">
                  <c:v>326</c:v>
                </c:pt>
                <c:pt idx="31">
                  <c:v>326</c:v>
                </c:pt>
                <c:pt idx="32">
                  <c:v>326</c:v>
                </c:pt>
                <c:pt idx="33">
                  <c:v>326</c:v>
                </c:pt>
                <c:pt idx="34">
                  <c:v>326</c:v>
                </c:pt>
                <c:pt idx="35">
                  <c:v>326</c:v>
                </c:pt>
                <c:pt idx="36">
                  <c:v>326</c:v>
                </c:pt>
                <c:pt idx="37">
                  <c:v>326</c:v>
                </c:pt>
                <c:pt idx="38">
                  <c:v>326</c:v>
                </c:pt>
                <c:pt idx="39">
                  <c:v>326</c:v>
                </c:pt>
                <c:pt idx="40">
                  <c:v>326</c:v>
                </c:pt>
                <c:pt idx="41">
                  <c:v>326</c:v>
                </c:pt>
                <c:pt idx="42">
                  <c:v>326</c:v>
                </c:pt>
                <c:pt idx="43">
                  <c:v>326</c:v>
                </c:pt>
                <c:pt idx="44">
                  <c:v>326</c:v>
                </c:pt>
                <c:pt idx="45">
                  <c:v>326</c:v>
                </c:pt>
                <c:pt idx="46">
                  <c:v>326</c:v>
                </c:pt>
                <c:pt idx="47">
                  <c:v>326</c:v>
                </c:pt>
                <c:pt idx="48">
                  <c:v>326</c:v>
                </c:pt>
                <c:pt idx="49">
                  <c:v>326</c:v>
                </c:pt>
                <c:pt idx="50">
                  <c:v>326</c:v>
                </c:pt>
                <c:pt idx="51">
                  <c:v>326</c:v>
                </c:pt>
                <c:pt idx="52">
                  <c:v>326</c:v>
                </c:pt>
                <c:pt idx="53">
                  <c:v>326</c:v>
                </c:pt>
                <c:pt idx="54">
                  <c:v>326</c:v>
                </c:pt>
                <c:pt idx="55">
                  <c:v>326</c:v>
                </c:pt>
                <c:pt idx="56">
                  <c:v>326</c:v>
                </c:pt>
                <c:pt idx="57">
                  <c:v>326</c:v>
                </c:pt>
                <c:pt idx="58">
                  <c:v>326</c:v>
                </c:pt>
                <c:pt idx="59">
                  <c:v>326</c:v>
                </c:pt>
                <c:pt idx="60">
                  <c:v>326</c:v>
                </c:pt>
                <c:pt idx="61">
                  <c:v>326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[0]!G5_XValues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[0]!G5_Lie</c:f>
              <c:numCache>
                <c:formatCode>General</c:formatCode>
                <c:ptCount val="62"/>
                <c:pt idx="0">
                  <c:v>323</c:v>
                </c:pt>
                <c:pt idx="1">
                  <c:v>323</c:v>
                </c:pt>
                <c:pt idx="2">
                  <c:v>323</c:v>
                </c:pt>
                <c:pt idx="3">
                  <c:v>323</c:v>
                </c:pt>
                <c:pt idx="4">
                  <c:v>323</c:v>
                </c:pt>
                <c:pt idx="5">
                  <c:v>323</c:v>
                </c:pt>
                <c:pt idx="6">
                  <c:v>323</c:v>
                </c:pt>
                <c:pt idx="7">
                  <c:v>323</c:v>
                </c:pt>
                <c:pt idx="8">
                  <c:v>323</c:v>
                </c:pt>
                <c:pt idx="9">
                  <c:v>323</c:v>
                </c:pt>
                <c:pt idx="10">
                  <c:v>323</c:v>
                </c:pt>
                <c:pt idx="11">
                  <c:v>323</c:v>
                </c:pt>
                <c:pt idx="12">
                  <c:v>323</c:v>
                </c:pt>
                <c:pt idx="13">
                  <c:v>323</c:v>
                </c:pt>
                <c:pt idx="14">
                  <c:v>323</c:v>
                </c:pt>
                <c:pt idx="15">
                  <c:v>323</c:v>
                </c:pt>
                <c:pt idx="16">
                  <c:v>323</c:v>
                </c:pt>
                <c:pt idx="17">
                  <c:v>323</c:v>
                </c:pt>
                <c:pt idx="18">
                  <c:v>323</c:v>
                </c:pt>
                <c:pt idx="19">
                  <c:v>323</c:v>
                </c:pt>
                <c:pt idx="20">
                  <c:v>323</c:v>
                </c:pt>
                <c:pt idx="21">
                  <c:v>323</c:v>
                </c:pt>
                <c:pt idx="22">
                  <c:v>323</c:v>
                </c:pt>
                <c:pt idx="23">
                  <c:v>323</c:v>
                </c:pt>
                <c:pt idx="24">
                  <c:v>323</c:v>
                </c:pt>
                <c:pt idx="25">
                  <c:v>323</c:v>
                </c:pt>
                <c:pt idx="26">
                  <c:v>323</c:v>
                </c:pt>
                <c:pt idx="27">
                  <c:v>323</c:v>
                </c:pt>
                <c:pt idx="28">
                  <c:v>323</c:v>
                </c:pt>
                <c:pt idx="29">
                  <c:v>323</c:v>
                </c:pt>
                <c:pt idx="30">
                  <c:v>323</c:v>
                </c:pt>
                <c:pt idx="31">
                  <c:v>323</c:v>
                </c:pt>
                <c:pt idx="32">
                  <c:v>323</c:v>
                </c:pt>
                <c:pt idx="33">
                  <c:v>323</c:v>
                </c:pt>
                <c:pt idx="34">
                  <c:v>323</c:v>
                </c:pt>
                <c:pt idx="35">
                  <c:v>323</c:v>
                </c:pt>
                <c:pt idx="36">
                  <c:v>323</c:v>
                </c:pt>
                <c:pt idx="37">
                  <c:v>323</c:v>
                </c:pt>
                <c:pt idx="38">
                  <c:v>323</c:v>
                </c:pt>
                <c:pt idx="39">
                  <c:v>323</c:v>
                </c:pt>
                <c:pt idx="40">
                  <c:v>323</c:v>
                </c:pt>
                <c:pt idx="41">
                  <c:v>323</c:v>
                </c:pt>
                <c:pt idx="42">
                  <c:v>323</c:v>
                </c:pt>
                <c:pt idx="43">
                  <c:v>323</c:v>
                </c:pt>
                <c:pt idx="44">
                  <c:v>323</c:v>
                </c:pt>
                <c:pt idx="45">
                  <c:v>323</c:v>
                </c:pt>
                <c:pt idx="46">
                  <c:v>323</c:v>
                </c:pt>
                <c:pt idx="47">
                  <c:v>323</c:v>
                </c:pt>
                <c:pt idx="48">
                  <c:v>323</c:v>
                </c:pt>
                <c:pt idx="49">
                  <c:v>323</c:v>
                </c:pt>
                <c:pt idx="50">
                  <c:v>323</c:v>
                </c:pt>
                <c:pt idx="51">
                  <c:v>323</c:v>
                </c:pt>
                <c:pt idx="52">
                  <c:v>323</c:v>
                </c:pt>
                <c:pt idx="53">
                  <c:v>323</c:v>
                </c:pt>
                <c:pt idx="54">
                  <c:v>323</c:v>
                </c:pt>
                <c:pt idx="55">
                  <c:v>323</c:v>
                </c:pt>
                <c:pt idx="56">
                  <c:v>323</c:v>
                </c:pt>
                <c:pt idx="57">
                  <c:v>323</c:v>
                </c:pt>
                <c:pt idx="58">
                  <c:v>323</c:v>
                </c:pt>
                <c:pt idx="59">
                  <c:v>323</c:v>
                </c:pt>
                <c:pt idx="60">
                  <c:v>323</c:v>
                </c:pt>
                <c:pt idx="61">
                  <c:v>323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[0]!G5_XValues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[0]!G5_Lse</c:f>
              <c:numCache>
                <c:formatCode>General</c:formatCode>
                <c:ptCount val="62"/>
                <c:pt idx="0">
                  <c:v>329</c:v>
                </c:pt>
                <c:pt idx="1">
                  <c:v>329</c:v>
                </c:pt>
                <c:pt idx="2">
                  <c:v>329</c:v>
                </c:pt>
                <c:pt idx="3">
                  <c:v>329</c:v>
                </c:pt>
                <c:pt idx="4">
                  <c:v>329</c:v>
                </c:pt>
                <c:pt idx="5">
                  <c:v>329</c:v>
                </c:pt>
                <c:pt idx="6">
                  <c:v>329</c:v>
                </c:pt>
                <c:pt idx="7">
                  <c:v>329</c:v>
                </c:pt>
                <c:pt idx="8">
                  <c:v>329</c:v>
                </c:pt>
                <c:pt idx="9">
                  <c:v>329</c:v>
                </c:pt>
                <c:pt idx="10">
                  <c:v>329</c:v>
                </c:pt>
                <c:pt idx="11">
                  <c:v>329</c:v>
                </c:pt>
                <c:pt idx="12">
                  <c:v>329</c:v>
                </c:pt>
                <c:pt idx="13">
                  <c:v>329</c:v>
                </c:pt>
                <c:pt idx="14">
                  <c:v>329</c:v>
                </c:pt>
                <c:pt idx="15">
                  <c:v>329</c:v>
                </c:pt>
                <c:pt idx="16">
                  <c:v>329</c:v>
                </c:pt>
                <c:pt idx="17">
                  <c:v>329</c:v>
                </c:pt>
                <c:pt idx="18">
                  <c:v>329</c:v>
                </c:pt>
                <c:pt idx="19">
                  <c:v>329</c:v>
                </c:pt>
                <c:pt idx="20">
                  <c:v>329</c:v>
                </c:pt>
                <c:pt idx="21">
                  <c:v>329</c:v>
                </c:pt>
                <c:pt idx="22">
                  <c:v>329</c:v>
                </c:pt>
                <c:pt idx="23">
                  <c:v>329</c:v>
                </c:pt>
                <c:pt idx="24">
                  <c:v>329</c:v>
                </c:pt>
                <c:pt idx="25">
                  <c:v>329</c:v>
                </c:pt>
                <c:pt idx="26">
                  <c:v>329</c:v>
                </c:pt>
                <c:pt idx="27">
                  <c:v>329</c:v>
                </c:pt>
                <c:pt idx="28">
                  <c:v>329</c:v>
                </c:pt>
                <c:pt idx="29">
                  <c:v>329</c:v>
                </c:pt>
                <c:pt idx="30">
                  <c:v>329</c:v>
                </c:pt>
                <c:pt idx="31">
                  <c:v>329</c:v>
                </c:pt>
                <c:pt idx="32">
                  <c:v>329</c:v>
                </c:pt>
                <c:pt idx="33">
                  <c:v>329</c:v>
                </c:pt>
                <c:pt idx="34">
                  <c:v>329</c:v>
                </c:pt>
                <c:pt idx="35">
                  <c:v>329</c:v>
                </c:pt>
                <c:pt idx="36">
                  <c:v>329</c:v>
                </c:pt>
                <c:pt idx="37">
                  <c:v>329</c:v>
                </c:pt>
                <c:pt idx="38">
                  <c:v>329</c:v>
                </c:pt>
                <c:pt idx="39">
                  <c:v>329</c:v>
                </c:pt>
                <c:pt idx="40">
                  <c:v>329</c:v>
                </c:pt>
                <c:pt idx="41">
                  <c:v>329</c:v>
                </c:pt>
                <c:pt idx="42">
                  <c:v>329</c:v>
                </c:pt>
                <c:pt idx="43">
                  <c:v>329</c:v>
                </c:pt>
                <c:pt idx="44">
                  <c:v>329</c:v>
                </c:pt>
                <c:pt idx="45">
                  <c:v>329</c:v>
                </c:pt>
                <c:pt idx="46">
                  <c:v>329</c:v>
                </c:pt>
                <c:pt idx="47">
                  <c:v>329</c:v>
                </c:pt>
                <c:pt idx="48">
                  <c:v>329</c:v>
                </c:pt>
                <c:pt idx="49">
                  <c:v>329</c:v>
                </c:pt>
                <c:pt idx="50">
                  <c:v>329</c:v>
                </c:pt>
                <c:pt idx="51">
                  <c:v>329</c:v>
                </c:pt>
                <c:pt idx="52">
                  <c:v>329</c:v>
                </c:pt>
                <c:pt idx="53">
                  <c:v>329</c:v>
                </c:pt>
                <c:pt idx="54">
                  <c:v>329</c:v>
                </c:pt>
                <c:pt idx="55">
                  <c:v>329</c:v>
                </c:pt>
                <c:pt idx="56">
                  <c:v>329</c:v>
                </c:pt>
                <c:pt idx="57">
                  <c:v>329</c:v>
                </c:pt>
                <c:pt idx="58">
                  <c:v>329</c:v>
                </c:pt>
                <c:pt idx="59">
                  <c:v>329</c:v>
                </c:pt>
                <c:pt idx="60">
                  <c:v>329</c:v>
                </c:pt>
                <c:pt idx="61">
                  <c:v>329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[0]!G5_XValues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[0]!G5_Data</c:f>
              <c:numCache>
                <c:formatCode>General</c:formatCode>
                <c:ptCount val="62"/>
                <c:pt idx="0">
                  <c:v>327.91</c:v>
                </c:pt>
                <c:pt idx="1">
                  <c:v>326.58</c:v>
                </c:pt>
                <c:pt idx="2">
                  <c:v>327.56</c:v>
                </c:pt>
                <c:pt idx="3">
                  <c:v>327.60000000000002</c:v>
                </c:pt>
                <c:pt idx="4">
                  <c:v>327</c:v>
                </c:pt>
                <c:pt idx="5">
                  <c:v>326.89999999999998</c:v>
                </c:pt>
                <c:pt idx="6">
                  <c:v>328</c:v>
                </c:pt>
                <c:pt idx="7">
                  <c:v>327.2</c:v>
                </c:pt>
                <c:pt idx="8">
                  <c:v>327.9</c:v>
                </c:pt>
                <c:pt idx="9">
                  <c:v>328.87</c:v>
                </c:pt>
                <c:pt idx="10">
                  <c:v>326.57</c:v>
                </c:pt>
                <c:pt idx="11">
                  <c:v>326.25</c:v>
                </c:pt>
                <c:pt idx="12">
                  <c:v>328.07</c:v>
                </c:pt>
                <c:pt idx="13">
                  <c:v>328.25</c:v>
                </c:pt>
                <c:pt idx="14">
                  <c:v>326.75</c:v>
                </c:pt>
                <c:pt idx="15">
                  <c:v>326.35000000000002</c:v>
                </c:pt>
                <c:pt idx="16">
                  <c:v>326.44</c:v>
                </c:pt>
                <c:pt idx="17">
                  <c:v>327.54000000000002</c:v>
                </c:pt>
                <c:pt idx="18">
                  <c:v>327.39999999999998</c:v>
                </c:pt>
                <c:pt idx="19">
                  <c:v>326.7</c:v>
                </c:pt>
                <c:pt idx="20">
                  <c:v>326.3</c:v>
                </c:pt>
                <c:pt idx="21">
                  <c:v>328.6</c:v>
                </c:pt>
                <c:pt idx="22">
                  <c:v>326.8</c:v>
                </c:pt>
                <c:pt idx="23">
                  <c:v>327.39999999999998</c:v>
                </c:pt>
                <c:pt idx="24">
                  <c:v>327.5</c:v>
                </c:pt>
                <c:pt idx="25">
                  <c:v>326.37</c:v>
                </c:pt>
                <c:pt idx="26">
                  <c:v>327.39999999999998</c:v>
                </c:pt>
                <c:pt idx="27">
                  <c:v>327.39</c:v>
                </c:pt>
                <c:pt idx="28">
                  <c:v>326.97000000000003</c:v>
                </c:pt>
                <c:pt idx="29">
                  <c:v>327.24</c:v>
                </c:pt>
                <c:pt idx="30">
                  <c:v>326.64</c:v>
                </c:pt>
                <c:pt idx="31">
                  <c:v>326.79000000000002</c:v>
                </c:pt>
                <c:pt idx="32">
                  <c:v>326.89</c:v>
                </c:pt>
                <c:pt idx="33">
                  <c:v>327.55</c:v>
                </c:pt>
                <c:pt idx="34">
                  <c:v>327.5</c:v>
                </c:pt>
                <c:pt idx="35">
                  <c:v>327.39</c:v>
                </c:pt>
                <c:pt idx="36">
                  <c:v>327.58999999999997</c:v>
                </c:pt>
                <c:pt idx="37">
                  <c:v>327.29000000000002</c:v>
                </c:pt>
                <c:pt idx="38">
                  <c:v>327.78</c:v>
                </c:pt>
                <c:pt idx="39">
                  <c:v>327.86</c:v>
                </c:pt>
                <c:pt idx="40">
                  <c:v>327.58</c:v>
                </c:pt>
                <c:pt idx="41">
                  <c:v>329.54</c:v>
                </c:pt>
                <c:pt idx="42">
                  <c:v>328.39</c:v>
                </c:pt>
                <c:pt idx="43">
                  <c:v>328.22</c:v>
                </c:pt>
                <c:pt idx="44">
                  <c:v>327.04000000000002</c:v>
                </c:pt>
                <c:pt idx="45">
                  <c:v>328.37</c:v>
                </c:pt>
                <c:pt idx="46">
                  <c:v>327.58</c:v>
                </c:pt>
                <c:pt idx="47">
                  <c:v>327.16000000000003</c:v>
                </c:pt>
                <c:pt idx="48">
                  <c:v>327.04000000000002</c:v>
                </c:pt>
                <c:pt idx="49">
                  <c:v>328.18</c:v>
                </c:pt>
                <c:pt idx="50">
                  <c:v>328.64</c:v>
                </c:pt>
                <c:pt idx="51">
                  <c:v>328.04</c:v>
                </c:pt>
                <c:pt idx="52">
                  <c:v>327.60000000000002</c:v>
                </c:pt>
                <c:pt idx="53">
                  <c:v>326.95</c:v>
                </c:pt>
                <c:pt idx="54">
                  <c:v>327.52999999999997</c:v>
                </c:pt>
                <c:pt idx="55">
                  <c:v>327.54000000000002</c:v>
                </c:pt>
                <c:pt idx="56">
                  <c:v>327.31</c:v>
                </c:pt>
                <c:pt idx="57">
                  <c:v>327.87</c:v>
                </c:pt>
                <c:pt idx="58">
                  <c:v>328.01</c:v>
                </c:pt>
                <c:pt idx="59">
                  <c:v>328.86</c:v>
                </c:pt>
                <c:pt idx="60">
                  <c:v>328.31</c:v>
                </c:pt>
                <c:pt idx="61">
                  <c:v>326.93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51680"/>
        <c:axId val="125753600"/>
      </c:lineChart>
      <c:catAx>
        <c:axId val="125751680"/>
        <c:scaling>
          <c:orientation val="minMax"/>
        </c:scaling>
        <c:delete val="1"/>
        <c:axPos val="b"/>
        <c:majorTickMark val="out"/>
        <c:minorTickMark val="none"/>
        <c:tickLblPos val="nextTo"/>
        <c:crossAx val="125753600"/>
        <c:crosses val="autoZero"/>
        <c:auto val="0"/>
        <c:lblAlgn val="ctr"/>
        <c:lblOffset val="100"/>
        <c:noMultiLvlLbl val="1"/>
      </c:catAx>
      <c:valAx>
        <c:axId val="125753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5751680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[0]!G6_XValues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[0]!G6_Nominal</c:f>
              <c:numCache>
                <c:formatCode>General</c:formatCode>
                <c:ptCount val="62"/>
                <c:pt idx="0">
                  <c:v>990.2</c:v>
                </c:pt>
                <c:pt idx="1">
                  <c:v>990.2</c:v>
                </c:pt>
                <c:pt idx="2">
                  <c:v>990.2</c:v>
                </c:pt>
                <c:pt idx="3">
                  <c:v>990.2</c:v>
                </c:pt>
                <c:pt idx="4">
                  <c:v>990.2</c:v>
                </c:pt>
                <c:pt idx="5">
                  <c:v>990.2</c:v>
                </c:pt>
                <c:pt idx="6">
                  <c:v>990.2</c:v>
                </c:pt>
                <c:pt idx="7">
                  <c:v>990.2</c:v>
                </c:pt>
                <c:pt idx="8">
                  <c:v>990.2</c:v>
                </c:pt>
                <c:pt idx="9">
                  <c:v>990.2</c:v>
                </c:pt>
                <c:pt idx="10">
                  <c:v>990.2</c:v>
                </c:pt>
                <c:pt idx="11">
                  <c:v>990.2</c:v>
                </c:pt>
                <c:pt idx="12">
                  <c:v>990.2</c:v>
                </c:pt>
                <c:pt idx="13">
                  <c:v>990.2</c:v>
                </c:pt>
                <c:pt idx="14">
                  <c:v>990.2</c:v>
                </c:pt>
                <c:pt idx="15">
                  <c:v>990.2</c:v>
                </c:pt>
                <c:pt idx="16">
                  <c:v>990.2</c:v>
                </c:pt>
                <c:pt idx="17">
                  <c:v>990.2</c:v>
                </c:pt>
                <c:pt idx="18">
                  <c:v>990.2</c:v>
                </c:pt>
                <c:pt idx="19">
                  <c:v>990.2</c:v>
                </c:pt>
                <c:pt idx="20">
                  <c:v>990.2</c:v>
                </c:pt>
                <c:pt idx="21">
                  <c:v>990.2</c:v>
                </c:pt>
                <c:pt idx="22">
                  <c:v>990.2</c:v>
                </c:pt>
                <c:pt idx="23">
                  <c:v>990.2</c:v>
                </c:pt>
                <c:pt idx="24">
                  <c:v>990.2</c:v>
                </c:pt>
                <c:pt idx="25">
                  <c:v>990.2</c:v>
                </c:pt>
                <c:pt idx="26">
                  <c:v>990.2</c:v>
                </c:pt>
                <c:pt idx="27">
                  <c:v>990.2</c:v>
                </c:pt>
                <c:pt idx="28">
                  <c:v>990.2</c:v>
                </c:pt>
                <c:pt idx="29">
                  <c:v>990.2</c:v>
                </c:pt>
                <c:pt idx="30">
                  <c:v>990.2</c:v>
                </c:pt>
                <c:pt idx="31">
                  <c:v>990.2</c:v>
                </c:pt>
                <c:pt idx="32">
                  <c:v>990.2</c:v>
                </c:pt>
                <c:pt idx="33">
                  <c:v>990.2</c:v>
                </c:pt>
                <c:pt idx="34">
                  <c:v>990.2</c:v>
                </c:pt>
                <c:pt idx="35">
                  <c:v>990.2</c:v>
                </c:pt>
                <c:pt idx="36">
                  <c:v>990.2</c:v>
                </c:pt>
                <c:pt idx="37">
                  <c:v>990.2</c:v>
                </c:pt>
                <c:pt idx="38">
                  <c:v>990.2</c:v>
                </c:pt>
                <c:pt idx="39">
                  <c:v>990.2</c:v>
                </c:pt>
                <c:pt idx="40">
                  <c:v>990.2</c:v>
                </c:pt>
                <c:pt idx="41">
                  <c:v>990.2</c:v>
                </c:pt>
                <c:pt idx="42">
                  <c:v>990.2</c:v>
                </c:pt>
                <c:pt idx="43">
                  <c:v>990.2</c:v>
                </c:pt>
                <c:pt idx="44">
                  <c:v>990.2</c:v>
                </c:pt>
                <c:pt idx="45">
                  <c:v>990.2</c:v>
                </c:pt>
                <c:pt idx="46">
                  <c:v>990.2</c:v>
                </c:pt>
                <c:pt idx="47">
                  <c:v>990.2</c:v>
                </c:pt>
                <c:pt idx="48">
                  <c:v>990.2</c:v>
                </c:pt>
                <c:pt idx="49">
                  <c:v>990.2</c:v>
                </c:pt>
                <c:pt idx="50">
                  <c:v>990.2</c:v>
                </c:pt>
                <c:pt idx="51">
                  <c:v>990.2</c:v>
                </c:pt>
                <c:pt idx="52">
                  <c:v>990.2</c:v>
                </c:pt>
                <c:pt idx="53">
                  <c:v>990.2</c:v>
                </c:pt>
                <c:pt idx="54">
                  <c:v>990.2</c:v>
                </c:pt>
                <c:pt idx="55">
                  <c:v>990.2</c:v>
                </c:pt>
                <c:pt idx="56">
                  <c:v>990.2</c:v>
                </c:pt>
                <c:pt idx="57">
                  <c:v>990.2</c:v>
                </c:pt>
                <c:pt idx="58">
                  <c:v>990.2</c:v>
                </c:pt>
                <c:pt idx="59">
                  <c:v>990.2</c:v>
                </c:pt>
                <c:pt idx="60">
                  <c:v>990.2</c:v>
                </c:pt>
                <c:pt idx="61">
                  <c:v>990.2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[0]!G6_XValues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[0]!G6_Lie</c:f>
              <c:numCache>
                <c:formatCode>General</c:formatCode>
                <c:ptCount val="62"/>
                <c:pt idx="0">
                  <c:v>987.2</c:v>
                </c:pt>
                <c:pt idx="1">
                  <c:v>987.2</c:v>
                </c:pt>
                <c:pt idx="2">
                  <c:v>987.2</c:v>
                </c:pt>
                <c:pt idx="3">
                  <c:v>987.2</c:v>
                </c:pt>
                <c:pt idx="4">
                  <c:v>987.2</c:v>
                </c:pt>
                <c:pt idx="5">
                  <c:v>987.2</c:v>
                </c:pt>
                <c:pt idx="6">
                  <c:v>987.2</c:v>
                </c:pt>
                <c:pt idx="7">
                  <c:v>987.2</c:v>
                </c:pt>
                <c:pt idx="8">
                  <c:v>987.2</c:v>
                </c:pt>
                <c:pt idx="9">
                  <c:v>987.2</c:v>
                </c:pt>
                <c:pt idx="10">
                  <c:v>987.2</c:v>
                </c:pt>
                <c:pt idx="11">
                  <c:v>987.2</c:v>
                </c:pt>
                <c:pt idx="12">
                  <c:v>987.2</c:v>
                </c:pt>
                <c:pt idx="13">
                  <c:v>987.2</c:v>
                </c:pt>
                <c:pt idx="14">
                  <c:v>987.2</c:v>
                </c:pt>
                <c:pt idx="15">
                  <c:v>987.2</c:v>
                </c:pt>
                <c:pt idx="16">
                  <c:v>987.2</c:v>
                </c:pt>
                <c:pt idx="17">
                  <c:v>987.2</c:v>
                </c:pt>
                <c:pt idx="18">
                  <c:v>987.2</c:v>
                </c:pt>
                <c:pt idx="19">
                  <c:v>987.2</c:v>
                </c:pt>
                <c:pt idx="20">
                  <c:v>987.2</c:v>
                </c:pt>
                <c:pt idx="21">
                  <c:v>987.2</c:v>
                </c:pt>
                <c:pt idx="22">
                  <c:v>987.2</c:v>
                </c:pt>
                <c:pt idx="23">
                  <c:v>987.2</c:v>
                </c:pt>
                <c:pt idx="24">
                  <c:v>987.2</c:v>
                </c:pt>
                <c:pt idx="25">
                  <c:v>987.2</c:v>
                </c:pt>
                <c:pt idx="26">
                  <c:v>987.2</c:v>
                </c:pt>
                <c:pt idx="27">
                  <c:v>987.2</c:v>
                </c:pt>
                <c:pt idx="28">
                  <c:v>987.2</c:v>
                </c:pt>
                <c:pt idx="29">
                  <c:v>987.2</c:v>
                </c:pt>
                <c:pt idx="30">
                  <c:v>987.2</c:v>
                </c:pt>
                <c:pt idx="31">
                  <c:v>987.2</c:v>
                </c:pt>
                <c:pt idx="32">
                  <c:v>987.2</c:v>
                </c:pt>
                <c:pt idx="33">
                  <c:v>987.2</c:v>
                </c:pt>
                <c:pt idx="34">
                  <c:v>987.2</c:v>
                </c:pt>
                <c:pt idx="35">
                  <c:v>987.2</c:v>
                </c:pt>
                <c:pt idx="36">
                  <c:v>987.2</c:v>
                </c:pt>
                <c:pt idx="37">
                  <c:v>987.2</c:v>
                </c:pt>
                <c:pt idx="38">
                  <c:v>987.2</c:v>
                </c:pt>
                <c:pt idx="39">
                  <c:v>987.2</c:v>
                </c:pt>
                <c:pt idx="40">
                  <c:v>987.2</c:v>
                </c:pt>
                <c:pt idx="41">
                  <c:v>987.2</c:v>
                </c:pt>
                <c:pt idx="42">
                  <c:v>987.2</c:v>
                </c:pt>
                <c:pt idx="43">
                  <c:v>987.2</c:v>
                </c:pt>
                <c:pt idx="44">
                  <c:v>987.2</c:v>
                </c:pt>
                <c:pt idx="45">
                  <c:v>987.2</c:v>
                </c:pt>
                <c:pt idx="46">
                  <c:v>987.2</c:v>
                </c:pt>
                <c:pt idx="47">
                  <c:v>987.2</c:v>
                </c:pt>
                <c:pt idx="48">
                  <c:v>987.2</c:v>
                </c:pt>
                <c:pt idx="49">
                  <c:v>987.2</c:v>
                </c:pt>
                <c:pt idx="50">
                  <c:v>987.2</c:v>
                </c:pt>
                <c:pt idx="51">
                  <c:v>987.2</c:v>
                </c:pt>
                <c:pt idx="52">
                  <c:v>987.2</c:v>
                </c:pt>
                <c:pt idx="53">
                  <c:v>987.2</c:v>
                </c:pt>
                <c:pt idx="54">
                  <c:v>987.2</c:v>
                </c:pt>
                <c:pt idx="55">
                  <c:v>987.2</c:v>
                </c:pt>
                <c:pt idx="56">
                  <c:v>987.2</c:v>
                </c:pt>
                <c:pt idx="57">
                  <c:v>987.2</c:v>
                </c:pt>
                <c:pt idx="58">
                  <c:v>987.2</c:v>
                </c:pt>
                <c:pt idx="59">
                  <c:v>987.2</c:v>
                </c:pt>
                <c:pt idx="60">
                  <c:v>987.2</c:v>
                </c:pt>
                <c:pt idx="61">
                  <c:v>987.2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[0]!G6_XValues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[0]!G6_Lse</c:f>
              <c:numCache>
                <c:formatCode>General</c:formatCode>
                <c:ptCount val="62"/>
                <c:pt idx="0">
                  <c:v>993.2</c:v>
                </c:pt>
                <c:pt idx="1">
                  <c:v>993.2</c:v>
                </c:pt>
                <c:pt idx="2">
                  <c:v>993.2</c:v>
                </c:pt>
                <c:pt idx="3">
                  <c:v>993.2</c:v>
                </c:pt>
                <c:pt idx="4">
                  <c:v>993.2</c:v>
                </c:pt>
                <c:pt idx="5">
                  <c:v>993.2</c:v>
                </c:pt>
                <c:pt idx="6">
                  <c:v>993.2</c:v>
                </c:pt>
                <c:pt idx="7">
                  <c:v>993.2</c:v>
                </c:pt>
                <c:pt idx="8">
                  <c:v>993.2</c:v>
                </c:pt>
                <c:pt idx="9">
                  <c:v>993.2</c:v>
                </c:pt>
                <c:pt idx="10">
                  <c:v>993.2</c:v>
                </c:pt>
                <c:pt idx="11">
                  <c:v>993.2</c:v>
                </c:pt>
                <c:pt idx="12">
                  <c:v>993.2</c:v>
                </c:pt>
                <c:pt idx="13">
                  <c:v>993.2</c:v>
                </c:pt>
                <c:pt idx="14">
                  <c:v>993.2</c:v>
                </c:pt>
                <c:pt idx="15">
                  <c:v>993.2</c:v>
                </c:pt>
                <c:pt idx="16">
                  <c:v>993.2</c:v>
                </c:pt>
                <c:pt idx="17">
                  <c:v>993.2</c:v>
                </c:pt>
                <c:pt idx="18">
                  <c:v>993.2</c:v>
                </c:pt>
                <c:pt idx="19">
                  <c:v>993.2</c:v>
                </c:pt>
                <c:pt idx="20">
                  <c:v>993.2</c:v>
                </c:pt>
                <c:pt idx="21">
                  <c:v>993.2</c:v>
                </c:pt>
                <c:pt idx="22">
                  <c:v>993.2</c:v>
                </c:pt>
                <c:pt idx="23">
                  <c:v>993.2</c:v>
                </c:pt>
                <c:pt idx="24">
                  <c:v>993.2</c:v>
                </c:pt>
                <c:pt idx="25">
                  <c:v>993.2</c:v>
                </c:pt>
                <c:pt idx="26">
                  <c:v>993.2</c:v>
                </c:pt>
                <c:pt idx="27">
                  <c:v>993.2</c:v>
                </c:pt>
                <c:pt idx="28">
                  <c:v>993.2</c:v>
                </c:pt>
                <c:pt idx="29">
                  <c:v>993.2</c:v>
                </c:pt>
                <c:pt idx="30">
                  <c:v>993.2</c:v>
                </c:pt>
                <c:pt idx="31">
                  <c:v>993.2</c:v>
                </c:pt>
                <c:pt idx="32">
                  <c:v>993.2</c:v>
                </c:pt>
                <c:pt idx="33">
                  <c:v>993.2</c:v>
                </c:pt>
                <c:pt idx="34">
                  <c:v>993.2</c:v>
                </c:pt>
                <c:pt idx="35">
                  <c:v>993.2</c:v>
                </c:pt>
                <c:pt idx="36">
                  <c:v>993.2</c:v>
                </c:pt>
                <c:pt idx="37">
                  <c:v>993.2</c:v>
                </c:pt>
                <c:pt idx="38">
                  <c:v>993.2</c:v>
                </c:pt>
                <c:pt idx="39">
                  <c:v>993.2</c:v>
                </c:pt>
                <c:pt idx="40">
                  <c:v>993.2</c:v>
                </c:pt>
                <c:pt idx="41">
                  <c:v>993.2</c:v>
                </c:pt>
                <c:pt idx="42">
                  <c:v>993.2</c:v>
                </c:pt>
                <c:pt idx="43">
                  <c:v>993.2</c:v>
                </c:pt>
                <c:pt idx="44">
                  <c:v>993.2</c:v>
                </c:pt>
                <c:pt idx="45">
                  <c:v>993.2</c:v>
                </c:pt>
                <c:pt idx="46">
                  <c:v>993.2</c:v>
                </c:pt>
                <c:pt idx="47">
                  <c:v>993.2</c:v>
                </c:pt>
                <c:pt idx="48">
                  <c:v>993.2</c:v>
                </c:pt>
                <c:pt idx="49">
                  <c:v>993.2</c:v>
                </c:pt>
                <c:pt idx="50">
                  <c:v>993.2</c:v>
                </c:pt>
                <c:pt idx="51">
                  <c:v>993.2</c:v>
                </c:pt>
                <c:pt idx="52">
                  <c:v>993.2</c:v>
                </c:pt>
                <c:pt idx="53">
                  <c:v>993.2</c:v>
                </c:pt>
                <c:pt idx="54">
                  <c:v>993.2</c:v>
                </c:pt>
                <c:pt idx="55">
                  <c:v>993.2</c:v>
                </c:pt>
                <c:pt idx="56">
                  <c:v>993.2</c:v>
                </c:pt>
                <c:pt idx="57">
                  <c:v>993.2</c:v>
                </c:pt>
                <c:pt idx="58">
                  <c:v>993.2</c:v>
                </c:pt>
                <c:pt idx="59">
                  <c:v>993.2</c:v>
                </c:pt>
                <c:pt idx="60">
                  <c:v>993.2</c:v>
                </c:pt>
                <c:pt idx="61">
                  <c:v>993.2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[0]!G6_XValues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[0]!G6_Data</c:f>
              <c:numCache>
                <c:formatCode>General</c:formatCode>
                <c:ptCount val="62"/>
                <c:pt idx="0">
                  <c:v>989.59</c:v>
                </c:pt>
                <c:pt idx="1">
                  <c:v>989.23</c:v>
                </c:pt>
                <c:pt idx="2">
                  <c:v>989.37</c:v>
                </c:pt>
                <c:pt idx="3">
                  <c:v>989.4</c:v>
                </c:pt>
                <c:pt idx="4">
                  <c:v>989.1</c:v>
                </c:pt>
                <c:pt idx="5">
                  <c:v>989.4</c:v>
                </c:pt>
                <c:pt idx="6">
                  <c:v>989.2</c:v>
                </c:pt>
                <c:pt idx="7">
                  <c:v>989.5</c:v>
                </c:pt>
                <c:pt idx="8">
                  <c:v>989.4</c:v>
                </c:pt>
                <c:pt idx="9">
                  <c:v>989.49</c:v>
                </c:pt>
                <c:pt idx="10">
                  <c:v>988.95</c:v>
                </c:pt>
                <c:pt idx="11">
                  <c:v>988.85</c:v>
                </c:pt>
                <c:pt idx="12">
                  <c:v>988.81</c:v>
                </c:pt>
                <c:pt idx="13">
                  <c:v>989.65</c:v>
                </c:pt>
                <c:pt idx="14">
                  <c:v>989.07</c:v>
                </c:pt>
                <c:pt idx="15">
                  <c:v>988.56</c:v>
                </c:pt>
                <c:pt idx="16">
                  <c:v>988.34</c:v>
                </c:pt>
                <c:pt idx="17">
                  <c:v>988.87</c:v>
                </c:pt>
                <c:pt idx="18">
                  <c:v>989.5</c:v>
                </c:pt>
                <c:pt idx="19">
                  <c:v>989.1</c:v>
                </c:pt>
                <c:pt idx="20">
                  <c:v>989.2</c:v>
                </c:pt>
                <c:pt idx="21">
                  <c:v>989.47</c:v>
                </c:pt>
                <c:pt idx="22">
                  <c:v>989.5</c:v>
                </c:pt>
                <c:pt idx="23">
                  <c:v>989.8</c:v>
                </c:pt>
                <c:pt idx="24">
                  <c:v>989.4</c:v>
                </c:pt>
                <c:pt idx="25">
                  <c:v>989.24</c:v>
                </c:pt>
                <c:pt idx="26">
                  <c:v>989.4</c:v>
                </c:pt>
                <c:pt idx="27">
                  <c:v>989.58</c:v>
                </c:pt>
                <c:pt idx="28">
                  <c:v>988.77</c:v>
                </c:pt>
                <c:pt idx="29">
                  <c:v>988.72</c:v>
                </c:pt>
                <c:pt idx="30">
                  <c:v>989.07</c:v>
                </c:pt>
                <c:pt idx="31">
                  <c:v>989.22</c:v>
                </c:pt>
                <c:pt idx="32">
                  <c:v>989.14</c:v>
                </c:pt>
                <c:pt idx="33">
                  <c:v>988.98</c:v>
                </c:pt>
                <c:pt idx="34">
                  <c:v>989.2</c:v>
                </c:pt>
                <c:pt idx="35">
                  <c:v>988.54</c:v>
                </c:pt>
                <c:pt idx="36">
                  <c:v>989.25</c:v>
                </c:pt>
                <c:pt idx="37">
                  <c:v>989.31</c:v>
                </c:pt>
                <c:pt idx="38">
                  <c:v>989.38</c:v>
                </c:pt>
                <c:pt idx="39">
                  <c:v>989.47</c:v>
                </c:pt>
                <c:pt idx="40">
                  <c:v>989.25</c:v>
                </c:pt>
                <c:pt idx="41">
                  <c:v>989.37</c:v>
                </c:pt>
                <c:pt idx="42">
                  <c:v>989.21</c:v>
                </c:pt>
                <c:pt idx="43">
                  <c:v>988.76</c:v>
                </c:pt>
                <c:pt idx="44">
                  <c:v>989.56</c:v>
                </c:pt>
                <c:pt idx="45">
                  <c:v>989.66</c:v>
                </c:pt>
                <c:pt idx="46">
                  <c:v>989</c:v>
                </c:pt>
                <c:pt idx="47">
                  <c:v>989.41</c:v>
                </c:pt>
                <c:pt idx="48">
                  <c:v>989.23</c:v>
                </c:pt>
                <c:pt idx="49">
                  <c:v>989.07</c:v>
                </c:pt>
                <c:pt idx="50">
                  <c:v>989.86</c:v>
                </c:pt>
                <c:pt idx="51">
                  <c:v>989.66</c:v>
                </c:pt>
                <c:pt idx="52">
                  <c:v>989.4</c:v>
                </c:pt>
                <c:pt idx="53">
                  <c:v>989.61</c:v>
                </c:pt>
                <c:pt idx="54">
                  <c:v>989.76</c:v>
                </c:pt>
                <c:pt idx="55">
                  <c:v>989.52</c:v>
                </c:pt>
                <c:pt idx="56">
                  <c:v>988.66</c:v>
                </c:pt>
                <c:pt idx="57">
                  <c:v>989.12</c:v>
                </c:pt>
                <c:pt idx="58">
                  <c:v>989.27</c:v>
                </c:pt>
                <c:pt idx="59">
                  <c:v>989.86</c:v>
                </c:pt>
                <c:pt idx="60">
                  <c:v>988.6</c:v>
                </c:pt>
                <c:pt idx="61">
                  <c:v>988.68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817984"/>
        <c:axId val="125819904"/>
      </c:lineChart>
      <c:catAx>
        <c:axId val="125817984"/>
        <c:scaling>
          <c:orientation val="minMax"/>
        </c:scaling>
        <c:delete val="1"/>
        <c:axPos val="b"/>
        <c:majorTickMark val="out"/>
        <c:minorTickMark val="none"/>
        <c:tickLblPos val="nextTo"/>
        <c:crossAx val="125819904"/>
        <c:crosses val="autoZero"/>
        <c:auto val="0"/>
        <c:lblAlgn val="ctr"/>
        <c:lblOffset val="100"/>
        <c:noMultiLvlLbl val="1"/>
      </c:catAx>
      <c:valAx>
        <c:axId val="125819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5817984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[0]!G7_XValues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[0]!G7_Nominal</c:f>
              <c:numCache>
                <c:formatCode>General</c:formatCode>
                <c:ptCount val="62"/>
                <c:pt idx="0">
                  <c:v>226.2</c:v>
                </c:pt>
                <c:pt idx="1">
                  <c:v>226.2</c:v>
                </c:pt>
                <c:pt idx="2">
                  <c:v>226.2</c:v>
                </c:pt>
                <c:pt idx="3">
                  <c:v>226.2</c:v>
                </c:pt>
                <c:pt idx="4">
                  <c:v>226.2</c:v>
                </c:pt>
                <c:pt idx="5">
                  <c:v>226.2</c:v>
                </c:pt>
                <c:pt idx="6">
                  <c:v>226.2</c:v>
                </c:pt>
                <c:pt idx="7">
                  <c:v>226.2</c:v>
                </c:pt>
                <c:pt idx="8">
                  <c:v>226.2</c:v>
                </c:pt>
                <c:pt idx="9">
                  <c:v>226.2</c:v>
                </c:pt>
                <c:pt idx="10">
                  <c:v>226.2</c:v>
                </c:pt>
                <c:pt idx="11">
                  <c:v>226.2</c:v>
                </c:pt>
                <c:pt idx="12">
                  <c:v>226.2</c:v>
                </c:pt>
                <c:pt idx="13">
                  <c:v>226.2</c:v>
                </c:pt>
                <c:pt idx="14">
                  <c:v>226.2</c:v>
                </c:pt>
                <c:pt idx="15">
                  <c:v>226.2</c:v>
                </c:pt>
                <c:pt idx="16">
                  <c:v>226.2</c:v>
                </c:pt>
                <c:pt idx="17">
                  <c:v>226.2</c:v>
                </c:pt>
                <c:pt idx="18">
                  <c:v>226.2</c:v>
                </c:pt>
                <c:pt idx="19">
                  <c:v>226.2</c:v>
                </c:pt>
                <c:pt idx="20">
                  <c:v>226.2</c:v>
                </c:pt>
                <c:pt idx="21">
                  <c:v>226.2</c:v>
                </c:pt>
                <c:pt idx="22">
                  <c:v>226.2</c:v>
                </c:pt>
                <c:pt idx="23">
                  <c:v>226.2</c:v>
                </c:pt>
                <c:pt idx="24">
                  <c:v>226.2</c:v>
                </c:pt>
                <c:pt idx="25">
                  <c:v>226.2</c:v>
                </c:pt>
                <c:pt idx="26">
                  <c:v>226.2</c:v>
                </c:pt>
                <c:pt idx="27">
                  <c:v>226.2</c:v>
                </c:pt>
                <c:pt idx="28">
                  <c:v>226.2</c:v>
                </c:pt>
                <c:pt idx="29">
                  <c:v>226.2</c:v>
                </c:pt>
                <c:pt idx="30">
                  <c:v>226.2</c:v>
                </c:pt>
                <c:pt idx="31">
                  <c:v>226.2</c:v>
                </c:pt>
                <c:pt idx="32">
                  <c:v>226.2</c:v>
                </c:pt>
                <c:pt idx="33">
                  <c:v>226.2</c:v>
                </c:pt>
                <c:pt idx="34">
                  <c:v>226.2</c:v>
                </c:pt>
                <c:pt idx="35">
                  <c:v>226.2</c:v>
                </c:pt>
                <c:pt idx="36">
                  <c:v>226.2</c:v>
                </c:pt>
                <c:pt idx="37">
                  <c:v>226.2</c:v>
                </c:pt>
                <c:pt idx="38">
                  <c:v>226.2</c:v>
                </c:pt>
                <c:pt idx="39">
                  <c:v>226.2</c:v>
                </c:pt>
                <c:pt idx="40">
                  <c:v>226.2</c:v>
                </c:pt>
                <c:pt idx="41">
                  <c:v>226.2</c:v>
                </c:pt>
                <c:pt idx="42">
                  <c:v>226.2</c:v>
                </c:pt>
                <c:pt idx="43">
                  <c:v>226.2</c:v>
                </c:pt>
                <c:pt idx="44">
                  <c:v>226.2</c:v>
                </c:pt>
                <c:pt idx="45">
                  <c:v>226.2</c:v>
                </c:pt>
                <c:pt idx="46">
                  <c:v>226.2</c:v>
                </c:pt>
                <c:pt idx="47">
                  <c:v>226.2</c:v>
                </c:pt>
                <c:pt idx="48">
                  <c:v>226.2</c:v>
                </c:pt>
                <c:pt idx="49">
                  <c:v>226.2</c:v>
                </c:pt>
                <c:pt idx="50">
                  <c:v>226.2</c:v>
                </c:pt>
                <c:pt idx="51">
                  <c:v>226.2</c:v>
                </c:pt>
                <c:pt idx="52">
                  <c:v>226.2</c:v>
                </c:pt>
                <c:pt idx="53">
                  <c:v>226.2</c:v>
                </c:pt>
                <c:pt idx="54">
                  <c:v>226.2</c:v>
                </c:pt>
                <c:pt idx="55">
                  <c:v>226.2</c:v>
                </c:pt>
                <c:pt idx="56">
                  <c:v>226.2</c:v>
                </c:pt>
                <c:pt idx="57">
                  <c:v>226.2</c:v>
                </c:pt>
                <c:pt idx="58">
                  <c:v>226.2</c:v>
                </c:pt>
                <c:pt idx="59">
                  <c:v>226.2</c:v>
                </c:pt>
                <c:pt idx="60">
                  <c:v>226.2</c:v>
                </c:pt>
                <c:pt idx="61">
                  <c:v>226.2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[0]!G7_XValues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[0]!G7_Lie</c:f>
              <c:numCache>
                <c:formatCode>General</c:formatCode>
                <c:ptCount val="62"/>
                <c:pt idx="0">
                  <c:v>223.2</c:v>
                </c:pt>
                <c:pt idx="1">
                  <c:v>223.2</c:v>
                </c:pt>
                <c:pt idx="2">
                  <c:v>223.2</c:v>
                </c:pt>
                <c:pt idx="3">
                  <c:v>223.2</c:v>
                </c:pt>
                <c:pt idx="4">
                  <c:v>223.2</c:v>
                </c:pt>
                <c:pt idx="5">
                  <c:v>223.2</c:v>
                </c:pt>
                <c:pt idx="6">
                  <c:v>223.2</c:v>
                </c:pt>
                <c:pt idx="7">
                  <c:v>223.2</c:v>
                </c:pt>
                <c:pt idx="8">
                  <c:v>223.2</c:v>
                </c:pt>
                <c:pt idx="9">
                  <c:v>223.2</c:v>
                </c:pt>
                <c:pt idx="10">
                  <c:v>223.2</c:v>
                </c:pt>
                <c:pt idx="11">
                  <c:v>223.2</c:v>
                </c:pt>
                <c:pt idx="12">
                  <c:v>223.2</c:v>
                </c:pt>
                <c:pt idx="13">
                  <c:v>223.2</c:v>
                </c:pt>
                <c:pt idx="14">
                  <c:v>223.2</c:v>
                </c:pt>
                <c:pt idx="15">
                  <c:v>223.2</c:v>
                </c:pt>
                <c:pt idx="16">
                  <c:v>223.2</c:v>
                </c:pt>
                <c:pt idx="17">
                  <c:v>223.2</c:v>
                </c:pt>
                <c:pt idx="18">
                  <c:v>223.2</c:v>
                </c:pt>
                <c:pt idx="19">
                  <c:v>223.2</c:v>
                </c:pt>
                <c:pt idx="20">
                  <c:v>223.2</c:v>
                </c:pt>
                <c:pt idx="21">
                  <c:v>223.2</c:v>
                </c:pt>
                <c:pt idx="22">
                  <c:v>223.2</c:v>
                </c:pt>
                <c:pt idx="23">
                  <c:v>223.2</c:v>
                </c:pt>
                <c:pt idx="24">
                  <c:v>223.2</c:v>
                </c:pt>
                <c:pt idx="25">
                  <c:v>223.2</c:v>
                </c:pt>
                <c:pt idx="26">
                  <c:v>223.2</c:v>
                </c:pt>
                <c:pt idx="27">
                  <c:v>223.2</c:v>
                </c:pt>
                <c:pt idx="28">
                  <c:v>223.2</c:v>
                </c:pt>
                <c:pt idx="29">
                  <c:v>223.2</c:v>
                </c:pt>
                <c:pt idx="30">
                  <c:v>223.2</c:v>
                </c:pt>
                <c:pt idx="31">
                  <c:v>223.2</c:v>
                </c:pt>
                <c:pt idx="32">
                  <c:v>223.2</c:v>
                </c:pt>
                <c:pt idx="33">
                  <c:v>223.2</c:v>
                </c:pt>
                <c:pt idx="34">
                  <c:v>223.2</c:v>
                </c:pt>
                <c:pt idx="35">
                  <c:v>223.2</c:v>
                </c:pt>
                <c:pt idx="36">
                  <c:v>223.2</c:v>
                </c:pt>
                <c:pt idx="37">
                  <c:v>223.2</c:v>
                </c:pt>
                <c:pt idx="38">
                  <c:v>223.2</c:v>
                </c:pt>
                <c:pt idx="39">
                  <c:v>223.2</c:v>
                </c:pt>
                <c:pt idx="40">
                  <c:v>223.2</c:v>
                </c:pt>
                <c:pt idx="41">
                  <c:v>223.2</c:v>
                </c:pt>
                <c:pt idx="42">
                  <c:v>223.2</c:v>
                </c:pt>
                <c:pt idx="43">
                  <c:v>223.2</c:v>
                </c:pt>
                <c:pt idx="44">
                  <c:v>223.2</c:v>
                </c:pt>
                <c:pt idx="45">
                  <c:v>223.2</c:v>
                </c:pt>
                <c:pt idx="46">
                  <c:v>223.2</c:v>
                </c:pt>
                <c:pt idx="47">
                  <c:v>223.2</c:v>
                </c:pt>
                <c:pt idx="48">
                  <c:v>223.2</c:v>
                </c:pt>
                <c:pt idx="49">
                  <c:v>223.2</c:v>
                </c:pt>
                <c:pt idx="50">
                  <c:v>223.2</c:v>
                </c:pt>
                <c:pt idx="51">
                  <c:v>223.2</c:v>
                </c:pt>
                <c:pt idx="52">
                  <c:v>223.2</c:v>
                </c:pt>
                <c:pt idx="53">
                  <c:v>223.2</c:v>
                </c:pt>
                <c:pt idx="54">
                  <c:v>223.2</c:v>
                </c:pt>
                <c:pt idx="55">
                  <c:v>223.2</c:v>
                </c:pt>
                <c:pt idx="56">
                  <c:v>223.2</c:v>
                </c:pt>
                <c:pt idx="57">
                  <c:v>223.2</c:v>
                </c:pt>
                <c:pt idx="58">
                  <c:v>223.2</c:v>
                </c:pt>
                <c:pt idx="59">
                  <c:v>223.2</c:v>
                </c:pt>
                <c:pt idx="60">
                  <c:v>223.2</c:v>
                </c:pt>
                <c:pt idx="61">
                  <c:v>223.2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[0]!G7_XValues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[0]!G7_Lse</c:f>
              <c:numCache>
                <c:formatCode>General</c:formatCode>
                <c:ptCount val="62"/>
                <c:pt idx="0">
                  <c:v>229.2</c:v>
                </c:pt>
                <c:pt idx="1">
                  <c:v>229.2</c:v>
                </c:pt>
                <c:pt idx="2">
                  <c:v>229.2</c:v>
                </c:pt>
                <c:pt idx="3">
                  <c:v>229.2</c:v>
                </c:pt>
                <c:pt idx="4">
                  <c:v>229.2</c:v>
                </c:pt>
                <c:pt idx="5">
                  <c:v>229.2</c:v>
                </c:pt>
                <c:pt idx="6">
                  <c:v>229.2</c:v>
                </c:pt>
                <c:pt idx="7">
                  <c:v>229.2</c:v>
                </c:pt>
                <c:pt idx="8">
                  <c:v>229.2</c:v>
                </c:pt>
                <c:pt idx="9">
                  <c:v>229.2</c:v>
                </c:pt>
                <c:pt idx="10">
                  <c:v>229.2</c:v>
                </c:pt>
                <c:pt idx="11">
                  <c:v>229.2</c:v>
                </c:pt>
                <c:pt idx="12">
                  <c:v>229.2</c:v>
                </c:pt>
                <c:pt idx="13">
                  <c:v>229.2</c:v>
                </c:pt>
                <c:pt idx="14">
                  <c:v>229.2</c:v>
                </c:pt>
                <c:pt idx="15">
                  <c:v>229.2</c:v>
                </c:pt>
                <c:pt idx="16">
                  <c:v>229.2</c:v>
                </c:pt>
                <c:pt idx="17">
                  <c:v>229.2</c:v>
                </c:pt>
                <c:pt idx="18">
                  <c:v>229.2</c:v>
                </c:pt>
                <c:pt idx="19">
                  <c:v>229.2</c:v>
                </c:pt>
                <c:pt idx="20">
                  <c:v>229.2</c:v>
                </c:pt>
                <c:pt idx="21">
                  <c:v>229.2</c:v>
                </c:pt>
                <c:pt idx="22">
                  <c:v>229.2</c:v>
                </c:pt>
                <c:pt idx="23">
                  <c:v>229.2</c:v>
                </c:pt>
                <c:pt idx="24">
                  <c:v>229.2</c:v>
                </c:pt>
                <c:pt idx="25">
                  <c:v>229.2</c:v>
                </c:pt>
                <c:pt idx="26">
                  <c:v>229.2</c:v>
                </c:pt>
                <c:pt idx="27">
                  <c:v>229.2</c:v>
                </c:pt>
                <c:pt idx="28">
                  <c:v>229.2</c:v>
                </c:pt>
                <c:pt idx="29">
                  <c:v>229.2</c:v>
                </c:pt>
                <c:pt idx="30">
                  <c:v>229.2</c:v>
                </c:pt>
                <c:pt idx="31">
                  <c:v>229.2</c:v>
                </c:pt>
                <c:pt idx="32">
                  <c:v>229.2</c:v>
                </c:pt>
                <c:pt idx="33">
                  <c:v>229.2</c:v>
                </c:pt>
                <c:pt idx="34">
                  <c:v>229.2</c:v>
                </c:pt>
                <c:pt idx="35">
                  <c:v>229.2</c:v>
                </c:pt>
                <c:pt idx="36">
                  <c:v>229.2</c:v>
                </c:pt>
                <c:pt idx="37">
                  <c:v>229.2</c:v>
                </c:pt>
                <c:pt idx="38">
                  <c:v>229.2</c:v>
                </c:pt>
                <c:pt idx="39">
                  <c:v>229.2</c:v>
                </c:pt>
                <c:pt idx="40">
                  <c:v>229.2</c:v>
                </c:pt>
                <c:pt idx="41">
                  <c:v>229.2</c:v>
                </c:pt>
                <c:pt idx="42">
                  <c:v>229.2</c:v>
                </c:pt>
                <c:pt idx="43">
                  <c:v>229.2</c:v>
                </c:pt>
                <c:pt idx="44">
                  <c:v>229.2</c:v>
                </c:pt>
                <c:pt idx="45">
                  <c:v>229.2</c:v>
                </c:pt>
                <c:pt idx="46">
                  <c:v>229.2</c:v>
                </c:pt>
                <c:pt idx="47">
                  <c:v>229.2</c:v>
                </c:pt>
                <c:pt idx="48">
                  <c:v>229.2</c:v>
                </c:pt>
                <c:pt idx="49">
                  <c:v>229.2</c:v>
                </c:pt>
                <c:pt idx="50">
                  <c:v>229.2</c:v>
                </c:pt>
                <c:pt idx="51">
                  <c:v>229.2</c:v>
                </c:pt>
                <c:pt idx="52">
                  <c:v>229.2</c:v>
                </c:pt>
                <c:pt idx="53">
                  <c:v>229.2</c:v>
                </c:pt>
                <c:pt idx="54">
                  <c:v>229.2</c:v>
                </c:pt>
                <c:pt idx="55">
                  <c:v>229.2</c:v>
                </c:pt>
                <c:pt idx="56">
                  <c:v>229.2</c:v>
                </c:pt>
                <c:pt idx="57">
                  <c:v>229.2</c:v>
                </c:pt>
                <c:pt idx="58">
                  <c:v>229.2</c:v>
                </c:pt>
                <c:pt idx="59">
                  <c:v>229.2</c:v>
                </c:pt>
                <c:pt idx="60">
                  <c:v>229.2</c:v>
                </c:pt>
                <c:pt idx="61">
                  <c:v>229.2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[0]!G7_XValues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[0]!G7_Data</c:f>
              <c:numCache>
                <c:formatCode>General</c:formatCode>
                <c:ptCount val="62"/>
                <c:pt idx="0">
                  <c:v>226.79</c:v>
                </c:pt>
                <c:pt idx="1">
                  <c:v>227.11</c:v>
                </c:pt>
                <c:pt idx="2">
                  <c:v>227.29</c:v>
                </c:pt>
                <c:pt idx="3">
                  <c:v>227.9</c:v>
                </c:pt>
                <c:pt idx="4">
                  <c:v>226.8</c:v>
                </c:pt>
                <c:pt idx="5">
                  <c:v>227.7</c:v>
                </c:pt>
                <c:pt idx="6">
                  <c:v>226.9</c:v>
                </c:pt>
                <c:pt idx="7">
                  <c:v>228.5</c:v>
                </c:pt>
                <c:pt idx="8">
                  <c:v>228.8</c:v>
                </c:pt>
                <c:pt idx="9">
                  <c:v>228.48</c:v>
                </c:pt>
                <c:pt idx="10">
                  <c:v>226.73</c:v>
                </c:pt>
                <c:pt idx="11">
                  <c:v>228.2</c:v>
                </c:pt>
                <c:pt idx="12">
                  <c:v>228.02</c:v>
                </c:pt>
                <c:pt idx="13">
                  <c:v>227.87</c:v>
                </c:pt>
                <c:pt idx="14">
                  <c:v>227.22</c:v>
                </c:pt>
                <c:pt idx="15">
                  <c:v>227.18</c:v>
                </c:pt>
                <c:pt idx="16">
                  <c:v>227.12</c:v>
                </c:pt>
                <c:pt idx="17">
                  <c:v>227.52</c:v>
                </c:pt>
                <c:pt idx="18">
                  <c:v>227.9</c:v>
                </c:pt>
                <c:pt idx="19">
                  <c:v>227.9</c:v>
                </c:pt>
                <c:pt idx="20">
                  <c:v>227.5</c:v>
                </c:pt>
                <c:pt idx="21">
                  <c:v>226.39</c:v>
                </c:pt>
                <c:pt idx="22">
                  <c:v>228.2</c:v>
                </c:pt>
                <c:pt idx="23">
                  <c:v>226.9</c:v>
                </c:pt>
                <c:pt idx="24">
                  <c:v>227.9</c:v>
                </c:pt>
                <c:pt idx="25">
                  <c:v>227.71</c:v>
                </c:pt>
                <c:pt idx="26">
                  <c:v>227.71</c:v>
                </c:pt>
                <c:pt idx="27">
                  <c:v>226.8</c:v>
                </c:pt>
                <c:pt idx="28">
                  <c:v>227.41</c:v>
                </c:pt>
                <c:pt idx="29">
                  <c:v>227.45</c:v>
                </c:pt>
                <c:pt idx="30">
                  <c:v>227.78</c:v>
                </c:pt>
                <c:pt idx="31">
                  <c:v>226.88</c:v>
                </c:pt>
                <c:pt idx="32">
                  <c:v>227.96</c:v>
                </c:pt>
                <c:pt idx="33">
                  <c:v>227.93</c:v>
                </c:pt>
                <c:pt idx="34">
                  <c:v>228</c:v>
                </c:pt>
                <c:pt idx="35">
                  <c:v>228.46</c:v>
                </c:pt>
                <c:pt idx="36">
                  <c:v>226.93</c:v>
                </c:pt>
                <c:pt idx="37">
                  <c:v>227.28</c:v>
                </c:pt>
                <c:pt idx="38">
                  <c:v>227.69</c:v>
                </c:pt>
                <c:pt idx="39">
                  <c:v>227.78</c:v>
                </c:pt>
                <c:pt idx="40">
                  <c:v>227.29</c:v>
                </c:pt>
                <c:pt idx="41">
                  <c:v>228.11</c:v>
                </c:pt>
                <c:pt idx="42">
                  <c:v>227.98</c:v>
                </c:pt>
                <c:pt idx="43">
                  <c:v>228.38</c:v>
                </c:pt>
                <c:pt idx="44">
                  <c:v>228.11</c:v>
                </c:pt>
                <c:pt idx="45">
                  <c:v>228.42</c:v>
                </c:pt>
                <c:pt idx="46">
                  <c:v>227.19</c:v>
                </c:pt>
                <c:pt idx="47">
                  <c:v>228.19</c:v>
                </c:pt>
                <c:pt idx="48">
                  <c:v>227.68</c:v>
                </c:pt>
                <c:pt idx="49">
                  <c:v>228.21</c:v>
                </c:pt>
                <c:pt idx="50">
                  <c:v>228.51</c:v>
                </c:pt>
                <c:pt idx="51">
                  <c:v>228.2</c:v>
                </c:pt>
                <c:pt idx="52">
                  <c:v>228.46</c:v>
                </c:pt>
                <c:pt idx="53">
                  <c:v>227.8</c:v>
                </c:pt>
                <c:pt idx="54">
                  <c:v>228.53</c:v>
                </c:pt>
                <c:pt idx="55">
                  <c:v>228.5</c:v>
                </c:pt>
                <c:pt idx="56">
                  <c:v>227.45</c:v>
                </c:pt>
                <c:pt idx="57">
                  <c:v>228.39</c:v>
                </c:pt>
                <c:pt idx="58">
                  <c:v>228.89</c:v>
                </c:pt>
                <c:pt idx="59">
                  <c:v>228.41</c:v>
                </c:pt>
                <c:pt idx="60">
                  <c:v>226.93</c:v>
                </c:pt>
                <c:pt idx="61">
                  <c:v>227.77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978112"/>
        <c:axId val="125980032"/>
      </c:lineChart>
      <c:catAx>
        <c:axId val="125978112"/>
        <c:scaling>
          <c:orientation val="minMax"/>
        </c:scaling>
        <c:delete val="1"/>
        <c:axPos val="b"/>
        <c:majorTickMark val="out"/>
        <c:minorTickMark val="none"/>
        <c:tickLblPos val="nextTo"/>
        <c:crossAx val="125980032"/>
        <c:crosses val="autoZero"/>
        <c:auto val="0"/>
        <c:lblAlgn val="ctr"/>
        <c:lblOffset val="100"/>
        <c:noMultiLvlLbl val="1"/>
      </c:catAx>
      <c:valAx>
        <c:axId val="125980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5978112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[0]!G8_XValues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[0]!G8_Nominal</c:f>
              <c:numCache>
                <c:formatCode>General</c:formatCode>
                <c:ptCount val="62"/>
                <c:pt idx="0">
                  <c:v>449</c:v>
                </c:pt>
                <c:pt idx="1">
                  <c:v>449</c:v>
                </c:pt>
                <c:pt idx="2">
                  <c:v>449</c:v>
                </c:pt>
                <c:pt idx="3">
                  <c:v>449</c:v>
                </c:pt>
                <c:pt idx="4">
                  <c:v>449</c:v>
                </c:pt>
                <c:pt idx="5">
                  <c:v>449</c:v>
                </c:pt>
                <c:pt idx="6">
                  <c:v>449</c:v>
                </c:pt>
                <c:pt idx="7">
                  <c:v>449</c:v>
                </c:pt>
                <c:pt idx="8">
                  <c:v>449</c:v>
                </c:pt>
                <c:pt idx="9">
                  <c:v>449</c:v>
                </c:pt>
                <c:pt idx="10">
                  <c:v>449</c:v>
                </c:pt>
                <c:pt idx="11">
                  <c:v>449</c:v>
                </c:pt>
                <c:pt idx="12">
                  <c:v>449</c:v>
                </c:pt>
                <c:pt idx="13">
                  <c:v>449</c:v>
                </c:pt>
                <c:pt idx="14">
                  <c:v>449</c:v>
                </c:pt>
                <c:pt idx="15">
                  <c:v>449</c:v>
                </c:pt>
                <c:pt idx="16">
                  <c:v>449</c:v>
                </c:pt>
                <c:pt idx="17">
                  <c:v>449</c:v>
                </c:pt>
                <c:pt idx="18">
                  <c:v>449</c:v>
                </c:pt>
                <c:pt idx="19">
                  <c:v>449</c:v>
                </c:pt>
                <c:pt idx="20">
                  <c:v>449</c:v>
                </c:pt>
                <c:pt idx="21">
                  <c:v>449</c:v>
                </c:pt>
                <c:pt idx="22">
                  <c:v>449</c:v>
                </c:pt>
                <c:pt idx="23">
                  <c:v>449</c:v>
                </c:pt>
                <c:pt idx="24">
                  <c:v>449</c:v>
                </c:pt>
                <c:pt idx="25">
                  <c:v>449</c:v>
                </c:pt>
                <c:pt idx="26">
                  <c:v>449</c:v>
                </c:pt>
                <c:pt idx="27">
                  <c:v>449</c:v>
                </c:pt>
                <c:pt idx="28">
                  <c:v>449</c:v>
                </c:pt>
                <c:pt idx="29">
                  <c:v>449</c:v>
                </c:pt>
                <c:pt idx="30">
                  <c:v>449</c:v>
                </c:pt>
                <c:pt idx="31">
                  <c:v>449</c:v>
                </c:pt>
                <c:pt idx="32">
                  <c:v>449</c:v>
                </c:pt>
                <c:pt idx="33">
                  <c:v>449</c:v>
                </c:pt>
                <c:pt idx="34">
                  <c:v>449</c:v>
                </c:pt>
                <c:pt idx="35">
                  <c:v>449</c:v>
                </c:pt>
                <c:pt idx="36">
                  <c:v>449</c:v>
                </c:pt>
                <c:pt idx="37">
                  <c:v>449</c:v>
                </c:pt>
                <c:pt idx="38">
                  <c:v>449</c:v>
                </c:pt>
                <c:pt idx="39">
                  <c:v>449</c:v>
                </c:pt>
                <c:pt idx="40">
                  <c:v>449</c:v>
                </c:pt>
                <c:pt idx="41">
                  <c:v>449</c:v>
                </c:pt>
                <c:pt idx="42">
                  <c:v>449</c:v>
                </c:pt>
                <c:pt idx="43">
                  <c:v>449</c:v>
                </c:pt>
                <c:pt idx="44">
                  <c:v>449</c:v>
                </c:pt>
                <c:pt idx="45">
                  <c:v>449</c:v>
                </c:pt>
                <c:pt idx="46">
                  <c:v>449</c:v>
                </c:pt>
                <c:pt idx="47">
                  <c:v>449</c:v>
                </c:pt>
                <c:pt idx="48">
                  <c:v>449</c:v>
                </c:pt>
                <c:pt idx="49">
                  <c:v>449</c:v>
                </c:pt>
                <c:pt idx="50">
                  <c:v>449</c:v>
                </c:pt>
                <c:pt idx="51">
                  <c:v>449</c:v>
                </c:pt>
                <c:pt idx="52">
                  <c:v>449</c:v>
                </c:pt>
                <c:pt idx="53">
                  <c:v>449</c:v>
                </c:pt>
                <c:pt idx="54">
                  <c:v>449</c:v>
                </c:pt>
                <c:pt idx="55">
                  <c:v>449</c:v>
                </c:pt>
                <c:pt idx="56">
                  <c:v>449</c:v>
                </c:pt>
                <c:pt idx="57">
                  <c:v>449</c:v>
                </c:pt>
                <c:pt idx="58">
                  <c:v>449</c:v>
                </c:pt>
                <c:pt idx="59">
                  <c:v>449</c:v>
                </c:pt>
                <c:pt idx="60">
                  <c:v>449</c:v>
                </c:pt>
                <c:pt idx="61">
                  <c:v>449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[0]!G8_XValues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[0]!G8_Lie</c:f>
              <c:numCache>
                <c:formatCode>General</c:formatCode>
                <c:ptCount val="62"/>
                <c:pt idx="0">
                  <c:v>446</c:v>
                </c:pt>
                <c:pt idx="1">
                  <c:v>446</c:v>
                </c:pt>
                <c:pt idx="2">
                  <c:v>446</c:v>
                </c:pt>
                <c:pt idx="3">
                  <c:v>446</c:v>
                </c:pt>
                <c:pt idx="4">
                  <c:v>446</c:v>
                </c:pt>
                <c:pt idx="5">
                  <c:v>446</c:v>
                </c:pt>
                <c:pt idx="6">
                  <c:v>446</c:v>
                </c:pt>
                <c:pt idx="7">
                  <c:v>446</c:v>
                </c:pt>
                <c:pt idx="8">
                  <c:v>446</c:v>
                </c:pt>
                <c:pt idx="9">
                  <c:v>446</c:v>
                </c:pt>
                <c:pt idx="10">
                  <c:v>446</c:v>
                </c:pt>
                <c:pt idx="11">
                  <c:v>446</c:v>
                </c:pt>
                <c:pt idx="12">
                  <c:v>446</c:v>
                </c:pt>
                <c:pt idx="13">
                  <c:v>446</c:v>
                </c:pt>
                <c:pt idx="14">
                  <c:v>446</c:v>
                </c:pt>
                <c:pt idx="15">
                  <c:v>446</c:v>
                </c:pt>
                <c:pt idx="16">
                  <c:v>446</c:v>
                </c:pt>
                <c:pt idx="17">
                  <c:v>446</c:v>
                </c:pt>
                <c:pt idx="18">
                  <c:v>446</c:v>
                </c:pt>
                <c:pt idx="19">
                  <c:v>446</c:v>
                </c:pt>
                <c:pt idx="20">
                  <c:v>446</c:v>
                </c:pt>
                <c:pt idx="21">
                  <c:v>446</c:v>
                </c:pt>
                <c:pt idx="22">
                  <c:v>446</c:v>
                </c:pt>
                <c:pt idx="23">
                  <c:v>446</c:v>
                </c:pt>
                <c:pt idx="24">
                  <c:v>446</c:v>
                </c:pt>
                <c:pt idx="25">
                  <c:v>446</c:v>
                </c:pt>
                <c:pt idx="26">
                  <c:v>446</c:v>
                </c:pt>
                <c:pt idx="27">
                  <c:v>446</c:v>
                </c:pt>
                <c:pt idx="28">
                  <c:v>446</c:v>
                </c:pt>
                <c:pt idx="29">
                  <c:v>446</c:v>
                </c:pt>
                <c:pt idx="30">
                  <c:v>446</c:v>
                </c:pt>
                <c:pt idx="31">
                  <c:v>446</c:v>
                </c:pt>
                <c:pt idx="32">
                  <c:v>446</c:v>
                </c:pt>
                <c:pt idx="33">
                  <c:v>446</c:v>
                </c:pt>
                <c:pt idx="34">
                  <c:v>446</c:v>
                </c:pt>
                <c:pt idx="35">
                  <c:v>446</c:v>
                </c:pt>
                <c:pt idx="36">
                  <c:v>446</c:v>
                </c:pt>
                <c:pt idx="37">
                  <c:v>446</c:v>
                </c:pt>
                <c:pt idx="38">
                  <c:v>446</c:v>
                </c:pt>
                <c:pt idx="39">
                  <c:v>446</c:v>
                </c:pt>
                <c:pt idx="40">
                  <c:v>446</c:v>
                </c:pt>
                <c:pt idx="41">
                  <c:v>446</c:v>
                </c:pt>
                <c:pt idx="42">
                  <c:v>446</c:v>
                </c:pt>
                <c:pt idx="43">
                  <c:v>446</c:v>
                </c:pt>
                <c:pt idx="44">
                  <c:v>446</c:v>
                </c:pt>
                <c:pt idx="45">
                  <c:v>446</c:v>
                </c:pt>
                <c:pt idx="46">
                  <c:v>446</c:v>
                </c:pt>
                <c:pt idx="47">
                  <c:v>446</c:v>
                </c:pt>
                <c:pt idx="48">
                  <c:v>446</c:v>
                </c:pt>
                <c:pt idx="49">
                  <c:v>446</c:v>
                </c:pt>
                <c:pt idx="50">
                  <c:v>446</c:v>
                </c:pt>
                <c:pt idx="51">
                  <c:v>446</c:v>
                </c:pt>
                <c:pt idx="52">
                  <c:v>446</c:v>
                </c:pt>
                <c:pt idx="53">
                  <c:v>446</c:v>
                </c:pt>
                <c:pt idx="54">
                  <c:v>446</c:v>
                </c:pt>
                <c:pt idx="55">
                  <c:v>446</c:v>
                </c:pt>
                <c:pt idx="56">
                  <c:v>446</c:v>
                </c:pt>
                <c:pt idx="57">
                  <c:v>446</c:v>
                </c:pt>
                <c:pt idx="58">
                  <c:v>446</c:v>
                </c:pt>
                <c:pt idx="59">
                  <c:v>446</c:v>
                </c:pt>
                <c:pt idx="60">
                  <c:v>446</c:v>
                </c:pt>
                <c:pt idx="61">
                  <c:v>446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[0]!G8_XValues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[0]!G8_Lse</c:f>
              <c:numCache>
                <c:formatCode>General</c:formatCode>
                <c:ptCount val="62"/>
                <c:pt idx="0">
                  <c:v>452</c:v>
                </c:pt>
                <c:pt idx="1">
                  <c:v>452</c:v>
                </c:pt>
                <c:pt idx="2">
                  <c:v>452</c:v>
                </c:pt>
                <c:pt idx="3">
                  <c:v>452</c:v>
                </c:pt>
                <c:pt idx="4">
                  <c:v>452</c:v>
                </c:pt>
                <c:pt idx="5">
                  <c:v>452</c:v>
                </c:pt>
                <c:pt idx="6">
                  <c:v>452</c:v>
                </c:pt>
                <c:pt idx="7">
                  <c:v>452</c:v>
                </c:pt>
                <c:pt idx="8">
                  <c:v>452</c:v>
                </c:pt>
                <c:pt idx="9">
                  <c:v>452</c:v>
                </c:pt>
                <c:pt idx="10">
                  <c:v>452</c:v>
                </c:pt>
                <c:pt idx="11">
                  <c:v>452</c:v>
                </c:pt>
                <c:pt idx="12">
                  <c:v>452</c:v>
                </c:pt>
                <c:pt idx="13">
                  <c:v>452</c:v>
                </c:pt>
                <c:pt idx="14">
                  <c:v>452</c:v>
                </c:pt>
                <c:pt idx="15">
                  <c:v>452</c:v>
                </c:pt>
                <c:pt idx="16">
                  <c:v>452</c:v>
                </c:pt>
                <c:pt idx="17">
                  <c:v>452</c:v>
                </c:pt>
                <c:pt idx="18">
                  <c:v>452</c:v>
                </c:pt>
                <c:pt idx="19">
                  <c:v>452</c:v>
                </c:pt>
                <c:pt idx="20">
                  <c:v>452</c:v>
                </c:pt>
                <c:pt idx="21">
                  <c:v>452</c:v>
                </c:pt>
                <c:pt idx="22">
                  <c:v>452</c:v>
                </c:pt>
                <c:pt idx="23">
                  <c:v>452</c:v>
                </c:pt>
                <c:pt idx="24">
                  <c:v>452</c:v>
                </c:pt>
                <c:pt idx="25">
                  <c:v>452</c:v>
                </c:pt>
                <c:pt idx="26">
                  <c:v>452</c:v>
                </c:pt>
                <c:pt idx="27">
                  <c:v>452</c:v>
                </c:pt>
                <c:pt idx="28">
                  <c:v>452</c:v>
                </c:pt>
                <c:pt idx="29">
                  <c:v>452</c:v>
                </c:pt>
                <c:pt idx="30">
                  <c:v>452</c:v>
                </c:pt>
                <c:pt idx="31">
                  <c:v>452</c:v>
                </c:pt>
                <c:pt idx="32">
                  <c:v>452</c:v>
                </c:pt>
                <c:pt idx="33">
                  <c:v>452</c:v>
                </c:pt>
                <c:pt idx="34">
                  <c:v>452</c:v>
                </c:pt>
                <c:pt idx="35">
                  <c:v>452</c:v>
                </c:pt>
                <c:pt idx="36">
                  <c:v>452</c:v>
                </c:pt>
                <c:pt idx="37">
                  <c:v>452</c:v>
                </c:pt>
                <c:pt idx="38">
                  <c:v>452</c:v>
                </c:pt>
                <c:pt idx="39">
                  <c:v>452</c:v>
                </c:pt>
                <c:pt idx="40">
                  <c:v>452</c:v>
                </c:pt>
                <c:pt idx="41">
                  <c:v>452</c:v>
                </c:pt>
                <c:pt idx="42">
                  <c:v>452</c:v>
                </c:pt>
                <c:pt idx="43">
                  <c:v>452</c:v>
                </c:pt>
                <c:pt idx="44">
                  <c:v>452</c:v>
                </c:pt>
                <c:pt idx="45">
                  <c:v>452</c:v>
                </c:pt>
                <c:pt idx="46">
                  <c:v>452</c:v>
                </c:pt>
                <c:pt idx="47">
                  <c:v>452</c:v>
                </c:pt>
                <c:pt idx="48">
                  <c:v>452</c:v>
                </c:pt>
                <c:pt idx="49">
                  <c:v>452</c:v>
                </c:pt>
                <c:pt idx="50">
                  <c:v>452</c:v>
                </c:pt>
                <c:pt idx="51">
                  <c:v>452</c:v>
                </c:pt>
                <c:pt idx="52">
                  <c:v>452</c:v>
                </c:pt>
                <c:pt idx="53">
                  <c:v>452</c:v>
                </c:pt>
                <c:pt idx="54">
                  <c:v>452</c:v>
                </c:pt>
                <c:pt idx="55">
                  <c:v>452</c:v>
                </c:pt>
                <c:pt idx="56">
                  <c:v>452</c:v>
                </c:pt>
                <c:pt idx="57">
                  <c:v>452</c:v>
                </c:pt>
                <c:pt idx="58">
                  <c:v>452</c:v>
                </c:pt>
                <c:pt idx="59">
                  <c:v>452</c:v>
                </c:pt>
                <c:pt idx="60">
                  <c:v>452</c:v>
                </c:pt>
                <c:pt idx="61">
                  <c:v>452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[0]!G8_XValues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[0]!G8_Data</c:f>
              <c:numCache>
                <c:formatCode>General</c:formatCode>
                <c:ptCount val="62"/>
                <c:pt idx="0">
                  <c:v>450.25</c:v>
                </c:pt>
                <c:pt idx="1">
                  <c:v>448.85</c:v>
                </c:pt>
                <c:pt idx="2">
                  <c:v>449.84</c:v>
                </c:pt>
                <c:pt idx="3">
                  <c:v>449.7</c:v>
                </c:pt>
                <c:pt idx="4">
                  <c:v>449.4</c:v>
                </c:pt>
                <c:pt idx="5">
                  <c:v>449.1</c:v>
                </c:pt>
                <c:pt idx="6">
                  <c:v>450.3</c:v>
                </c:pt>
                <c:pt idx="7">
                  <c:v>449.4</c:v>
                </c:pt>
                <c:pt idx="8">
                  <c:v>450.2</c:v>
                </c:pt>
                <c:pt idx="9">
                  <c:v>451.11</c:v>
                </c:pt>
                <c:pt idx="10">
                  <c:v>448.74</c:v>
                </c:pt>
                <c:pt idx="11">
                  <c:v>448.55</c:v>
                </c:pt>
                <c:pt idx="12">
                  <c:v>450.51</c:v>
                </c:pt>
                <c:pt idx="13">
                  <c:v>450.64</c:v>
                </c:pt>
                <c:pt idx="14">
                  <c:v>448.88</c:v>
                </c:pt>
                <c:pt idx="15">
                  <c:v>448.42</c:v>
                </c:pt>
                <c:pt idx="16">
                  <c:v>448.44</c:v>
                </c:pt>
                <c:pt idx="17">
                  <c:v>449.6</c:v>
                </c:pt>
                <c:pt idx="18">
                  <c:v>449.9</c:v>
                </c:pt>
                <c:pt idx="19">
                  <c:v>448.7</c:v>
                </c:pt>
                <c:pt idx="20">
                  <c:v>448.3</c:v>
                </c:pt>
                <c:pt idx="21">
                  <c:v>450.95</c:v>
                </c:pt>
                <c:pt idx="22">
                  <c:v>449.1</c:v>
                </c:pt>
                <c:pt idx="23">
                  <c:v>449.5</c:v>
                </c:pt>
                <c:pt idx="24">
                  <c:v>449.6</c:v>
                </c:pt>
                <c:pt idx="25">
                  <c:v>448.39</c:v>
                </c:pt>
                <c:pt idx="26">
                  <c:v>449.66</c:v>
                </c:pt>
                <c:pt idx="27">
                  <c:v>449.56</c:v>
                </c:pt>
                <c:pt idx="28">
                  <c:v>449.06</c:v>
                </c:pt>
                <c:pt idx="29">
                  <c:v>449.39</c:v>
                </c:pt>
                <c:pt idx="30">
                  <c:v>448.9</c:v>
                </c:pt>
                <c:pt idx="31">
                  <c:v>448.99</c:v>
                </c:pt>
                <c:pt idx="32">
                  <c:v>449.3</c:v>
                </c:pt>
                <c:pt idx="33">
                  <c:v>450.06</c:v>
                </c:pt>
                <c:pt idx="34">
                  <c:v>449.8</c:v>
                </c:pt>
                <c:pt idx="35">
                  <c:v>449.74</c:v>
                </c:pt>
                <c:pt idx="36">
                  <c:v>449.66</c:v>
                </c:pt>
                <c:pt idx="37">
                  <c:v>449.5</c:v>
                </c:pt>
                <c:pt idx="38">
                  <c:v>450.23</c:v>
                </c:pt>
                <c:pt idx="39">
                  <c:v>450.03</c:v>
                </c:pt>
                <c:pt idx="40">
                  <c:v>449.73</c:v>
                </c:pt>
                <c:pt idx="41">
                  <c:v>451.65</c:v>
                </c:pt>
                <c:pt idx="42">
                  <c:v>450.6</c:v>
                </c:pt>
                <c:pt idx="43">
                  <c:v>450.31</c:v>
                </c:pt>
                <c:pt idx="44">
                  <c:v>449.5</c:v>
                </c:pt>
                <c:pt idx="45">
                  <c:v>450.59</c:v>
                </c:pt>
                <c:pt idx="46">
                  <c:v>449.89</c:v>
                </c:pt>
                <c:pt idx="47">
                  <c:v>449.56</c:v>
                </c:pt>
                <c:pt idx="48">
                  <c:v>449.15</c:v>
                </c:pt>
                <c:pt idx="49">
                  <c:v>450.33</c:v>
                </c:pt>
                <c:pt idx="50">
                  <c:v>450.92</c:v>
                </c:pt>
                <c:pt idx="51">
                  <c:v>450.35</c:v>
                </c:pt>
                <c:pt idx="52">
                  <c:v>450.06</c:v>
                </c:pt>
                <c:pt idx="53">
                  <c:v>449.17</c:v>
                </c:pt>
                <c:pt idx="54">
                  <c:v>449.85</c:v>
                </c:pt>
                <c:pt idx="55">
                  <c:v>449.64</c:v>
                </c:pt>
                <c:pt idx="56">
                  <c:v>449.1</c:v>
                </c:pt>
                <c:pt idx="57">
                  <c:v>449.9</c:v>
                </c:pt>
                <c:pt idx="58">
                  <c:v>450.23</c:v>
                </c:pt>
                <c:pt idx="59">
                  <c:v>450.99</c:v>
                </c:pt>
                <c:pt idx="60">
                  <c:v>450.03</c:v>
                </c:pt>
                <c:pt idx="61">
                  <c:v>448.84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069760"/>
        <c:axId val="126088320"/>
      </c:lineChart>
      <c:catAx>
        <c:axId val="126069760"/>
        <c:scaling>
          <c:orientation val="minMax"/>
        </c:scaling>
        <c:delete val="1"/>
        <c:axPos val="b"/>
        <c:majorTickMark val="out"/>
        <c:minorTickMark val="none"/>
        <c:tickLblPos val="nextTo"/>
        <c:crossAx val="126088320"/>
        <c:crosses val="autoZero"/>
        <c:auto val="0"/>
        <c:lblAlgn val="ctr"/>
        <c:lblOffset val="100"/>
        <c:noMultiLvlLbl val="1"/>
      </c:catAx>
      <c:valAx>
        <c:axId val="126088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6069760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[0]!G9_XValues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[0]!G9_Nominal</c:f>
              <c:numCache>
                <c:formatCode>General</c:formatCode>
                <c:ptCount val="62"/>
                <c:pt idx="0">
                  <c:v>1052.3</c:v>
                </c:pt>
                <c:pt idx="1">
                  <c:v>1052.3</c:v>
                </c:pt>
                <c:pt idx="2">
                  <c:v>1052.3</c:v>
                </c:pt>
                <c:pt idx="3">
                  <c:v>1052.3</c:v>
                </c:pt>
                <c:pt idx="4">
                  <c:v>1052.3</c:v>
                </c:pt>
                <c:pt idx="5">
                  <c:v>1052.3</c:v>
                </c:pt>
                <c:pt idx="6">
                  <c:v>1052.3</c:v>
                </c:pt>
                <c:pt idx="7">
                  <c:v>1052.3</c:v>
                </c:pt>
                <c:pt idx="8">
                  <c:v>1052.3</c:v>
                </c:pt>
                <c:pt idx="9">
                  <c:v>1052.3</c:v>
                </c:pt>
                <c:pt idx="10">
                  <c:v>1052.3</c:v>
                </c:pt>
                <c:pt idx="11">
                  <c:v>1052.3</c:v>
                </c:pt>
                <c:pt idx="12">
                  <c:v>1052.3</c:v>
                </c:pt>
                <c:pt idx="13">
                  <c:v>1052.3</c:v>
                </c:pt>
                <c:pt idx="14">
                  <c:v>1052.3</c:v>
                </c:pt>
                <c:pt idx="15">
                  <c:v>1052.3</c:v>
                </c:pt>
                <c:pt idx="16">
                  <c:v>1052.3</c:v>
                </c:pt>
                <c:pt idx="17">
                  <c:v>1052.3</c:v>
                </c:pt>
                <c:pt idx="18">
                  <c:v>1052.3</c:v>
                </c:pt>
                <c:pt idx="19">
                  <c:v>1052.3</c:v>
                </c:pt>
                <c:pt idx="20">
                  <c:v>1052.3</c:v>
                </c:pt>
                <c:pt idx="21">
                  <c:v>1052.3</c:v>
                </c:pt>
                <c:pt idx="22">
                  <c:v>1052.3</c:v>
                </c:pt>
                <c:pt idx="23">
                  <c:v>1052.3</c:v>
                </c:pt>
                <c:pt idx="24">
                  <c:v>1052.3</c:v>
                </c:pt>
                <c:pt idx="25">
                  <c:v>1052.3</c:v>
                </c:pt>
                <c:pt idx="26">
                  <c:v>1052.3</c:v>
                </c:pt>
                <c:pt idx="27">
                  <c:v>1052.3</c:v>
                </c:pt>
                <c:pt idx="28">
                  <c:v>1052.3</c:v>
                </c:pt>
                <c:pt idx="29">
                  <c:v>1052.3</c:v>
                </c:pt>
                <c:pt idx="30">
                  <c:v>1052.3</c:v>
                </c:pt>
                <c:pt idx="31">
                  <c:v>1052.3</c:v>
                </c:pt>
                <c:pt idx="32">
                  <c:v>1052.3</c:v>
                </c:pt>
                <c:pt idx="33">
                  <c:v>1052.3</c:v>
                </c:pt>
                <c:pt idx="34">
                  <c:v>1052.3</c:v>
                </c:pt>
                <c:pt idx="35">
                  <c:v>1052.3</c:v>
                </c:pt>
                <c:pt idx="36">
                  <c:v>1052.3</c:v>
                </c:pt>
                <c:pt idx="37">
                  <c:v>1052.3</c:v>
                </c:pt>
                <c:pt idx="38">
                  <c:v>1052.3</c:v>
                </c:pt>
                <c:pt idx="39">
                  <c:v>1052.3</c:v>
                </c:pt>
                <c:pt idx="40">
                  <c:v>1052.3</c:v>
                </c:pt>
                <c:pt idx="41">
                  <c:v>1052.3</c:v>
                </c:pt>
                <c:pt idx="42">
                  <c:v>1052.3</c:v>
                </c:pt>
                <c:pt idx="43">
                  <c:v>1052.3</c:v>
                </c:pt>
                <c:pt idx="44">
                  <c:v>1052.3</c:v>
                </c:pt>
                <c:pt idx="45">
                  <c:v>1052.3</c:v>
                </c:pt>
                <c:pt idx="46">
                  <c:v>1052.3</c:v>
                </c:pt>
                <c:pt idx="47">
                  <c:v>1052.3</c:v>
                </c:pt>
                <c:pt idx="48">
                  <c:v>1052.3</c:v>
                </c:pt>
                <c:pt idx="49">
                  <c:v>1052.3</c:v>
                </c:pt>
                <c:pt idx="50">
                  <c:v>1052.3</c:v>
                </c:pt>
                <c:pt idx="51">
                  <c:v>1052.3</c:v>
                </c:pt>
                <c:pt idx="52">
                  <c:v>1052.3</c:v>
                </c:pt>
                <c:pt idx="53">
                  <c:v>1052.3</c:v>
                </c:pt>
                <c:pt idx="54">
                  <c:v>1052.3</c:v>
                </c:pt>
                <c:pt idx="55">
                  <c:v>1052.3</c:v>
                </c:pt>
                <c:pt idx="56">
                  <c:v>1052.3</c:v>
                </c:pt>
                <c:pt idx="57">
                  <c:v>1052.3</c:v>
                </c:pt>
                <c:pt idx="58">
                  <c:v>1052.3</c:v>
                </c:pt>
                <c:pt idx="59">
                  <c:v>1052.3</c:v>
                </c:pt>
                <c:pt idx="60">
                  <c:v>1052.3</c:v>
                </c:pt>
                <c:pt idx="61">
                  <c:v>1052.3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[0]!G9_XValues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[0]!G9_Lie</c:f>
              <c:numCache>
                <c:formatCode>General</c:formatCode>
                <c:ptCount val="62"/>
                <c:pt idx="0">
                  <c:v>1049.3</c:v>
                </c:pt>
                <c:pt idx="1">
                  <c:v>1049.3</c:v>
                </c:pt>
                <c:pt idx="2">
                  <c:v>1049.3</c:v>
                </c:pt>
                <c:pt idx="3">
                  <c:v>1049.3</c:v>
                </c:pt>
                <c:pt idx="4">
                  <c:v>1049.3</c:v>
                </c:pt>
                <c:pt idx="5">
                  <c:v>1049.3</c:v>
                </c:pt>
                <c:pt idx="6">
                  <c:v>1049.3</c:v>
                </c:pt>
                <c:pt idx="7">
                  <c:v>1049.3</c:v>
                </c:pt>
                <c:pt idx="8">
                  <c:v>1049.3</c:v>
                </c:pt>
                <c:pt idx="9">
                  <c:v>1049.3</c:v>
                </c:pt>
                <c:pt idx="10">
                  <c:v>1049.3</c:v>
                </c:pt>
                <c:pt idx="11">
                  <c:v>1049.3</c:v>
                </c:pt>
                <c:pt idx="12">
                  <c:v>1049.3</c:v>
                </c:pt>
                <c:pt idx="13">
                  <c:v>1049.3</c:v>
                </c:pt>
                <c:pt idx="14">
                  <c:v>1049.3</c:v>
                </c:pt>
                <c:pt idx="15">
                  <c:v>1049.3</c:v>
                </c:pt>
                <c:pt idx="16">
                  <c:v>1049.3</c:v>
                </c:pt>
                <c:pt idx="17">
                  <c:v>1049.3</c:v>
                </c:pt>
                <c:pt idx="18">
                  <c:v>1049.3</c:v>
                </c:pt>
                <c:pt idx="19">
                  <c:v>1049.3</c:v>
                </c:pt>
                <c:pt idx="20">
                  <c:v>1049.3</c:v>
                </c:pt>
                <c:pt idx="21">
                  <c:v>1049.3</c:v>
                </c:pt>
                <c:pt idx="22">
                  <c:v>1049.3</c:v>
                </c:pt>
                <c:pt idx="23">
                  <c:v>1049.3</c:v>
                </c:pt>
                <c:pt idx="24">
                  <c:v>1049.3</c:v>
                </c:pt>
                <c:pt idx="25">
                  <c:v>1049.3</c:v>
                </c:pt>
                <c:pt idx="26">
                  <c:v>1049.3</c:v>
                </c:pt>
                <c:pt idx="27">
                  <c:v>1049.3</c:v>
                </c:pt>
                <c:pt idx="28">
                  <c:v>1049.3</c:v>
                </c:pt>
                <c:pt idx="29">
                  <c:v>1049.3</c:v>
                </c:pt>
                <c:pt idx="30">
                  <c:v>1049.3</c:v>
                </c:pt>
                <c:pt idx="31">
                  <c:v>1049.3</c:v>
                </c:pt>
                <c:pt idx="32">
                  <c:v>1049.3</c:v>
                </c:pt>
                <c:pt idx="33">
                  <c:v>1049.3</c:v>
                </c:pt>
                <c:pt idx="34">
                  <c:v>1049.3</c:v>
                </c:pt>
                <c:pt idx="35">
                  <c:v>1049.3</c:v>
                </c:pt>
                <c:pt idx="36">
                  <c:v>1049.3</c:v>
                </c:pt>
                <c:pt idx="37">
                  <c:v>1049.3</c:v>
                </c:pt>
                <c:pt idx="38">
                  <c:v>1049.3</c:v>
                </c:pt>
                <c:pt idx="39">
                  <c:v>1049.3</c:v>
                </c:pt>
                <c:pt idx="40">
                  <c:v>1049.3</c:v>
                </c:pt>
                <c:pt idx="41">
                  <c:v>1049.3</c:v>
                </c:pt>
                <c:pt idx="42">
                  <c:v>1049.3</c:v>
                </c:pt>
                <c:pt idx="43">
                  <c:v>1049.3</c:v>
                </c:pt>
                <c:pt idx="44">
                  <c:v>1049.3</c:v>
                </c:pt>
                <c:pt idx="45">
                  <c:v>1049.3</c:v>
                </c:pt>
                <c:pt idx="46">
                  <c:v>1049.3</c:v>
                </c:pt>
                <c:pt idx="47">
                  <c:v>1049.3</c:v>
                </c:pt>
                <c:pt idx="48">
                  <c:v>1049.3</c:v>
                </c:pt>
                <c:pt idx="49">
                  <c:v>1049.3</c:v>
                </c:pt>
                <c:pt idx="50">
                  <c:v>1049.3</c:v>
                </c:pt>
                <c:pt idx="51">
                  <c:v>1049.3</c:v>
                </c:pt>
                <c:pt idx="52">
                  <c:v>1049.3</c:v>
                </c:pt>
                <c:pt idx="53">
                  <c:v>1049.3</c:v>
                </c:pt>
                <c:pt idx="54">
                  <c:v>1049.3</c:v>
                </c:pt>
                <c:pt idx="55">
                  <c:v>1049.3</c:v>
                </c:pt>
                <c:pt idx="56">
                  <c:v>1049.3</c:v>
                </c:pt>
                <c:pt idx="57">
                  <c:v>1049.3</c:v>
                </c:pt>
                <c:pt idx="58">
                  <c:v>1049.3</c:v>
                </c:pt>
                <c:pt idx="59">
                  <c:v>1049.3</c:v>
                </c:pt>
                <c:pt idx="60">
                  <c:v>1049.3</c:v>
                </c:pt>
                <c:pt idx="61">
                  <c:v>1049.3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[0]!G9_XValues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[0]!G9_Lse</c:f>
              <c:numCache>
                <c:formatCode>General</c:formatCode>
                <c:ptCount val="62"/>
                <c:pt idx="0">
                  <c:v>1055.3</c:v>
                </c:pt>
                <c:pt idx="1">
                  <c:v>1055.3</c:v>
                </c:pt>
                <c:pt idx="2">
                  <c:v>1055.3</c:v>
                </c:pt>
                <c:pt idx="3">
                  <c:v>1055.3</c:v>
                </c:pt>
                <c:pt idx="4">
                  <c:v>1055.3</c:v>
                </c:pt>
                <c:pt idx="5">
                  <c:v>1055.3</c:v>
                </c:pt>
                <c:pt idx="6">
                  <c:v>1055.3</c:v>
                </c:pt>
                <c:pt idx="7">
                  <c:v>1055.3</c:v>
                </c:pt>
                <c:pt idx="8">
                  <c:v>1055.3</c:v>
                </c:pt>
                <c:pt idx="9">
                  <c:v>1055.3</c:v>
                </c:pt>
                <c:pt idx="10">
                  <c:v>1055.3</c:v>
                </c:pt>
                <c:pt idx="11">
                  <c:v>1055.3</c:v>
                </c:pt>
                <c:pt idx="12">
                  <c:v>1055.3</c:v>
                </c:pt>
                <c:pt idx="13">
                  <c:v>1055.3</c:v>
                </c:pt>
                <c:pt idx="14">
                  <c:v>1055.3</c:v>
                </c:pt>
                <c:pt idx="15">
                  <c:v>1055.3</c:v>
                </c:pt>
                <c:pt idx="16">
                  <c:v>1055.3</c:v>
                </c:pt>
                <c:pt idx="17">
                  <c:v>1055.3</c:v>
                </c:pt>
                <c:pt idx="18">
                  <c:v>1055.3</c:v>
                </c:pt>
                <c:pt idx="19">
                  <c:v>1055.3</c:v>
                </c:pt>
                <c:pt idx="20">
                  <c:v>1055.3</c:v>
                </c:pt>
                <c:pt idx="21">
                  <c:v>1055.3</c:v>
                </c:pt>
                <c:pt idx="22">
                  <c:v>1055.3</c:v>
                </c:pt>
                <c:pt idx="23">
                  <c:v>1055.3</c:v>
                </c:pt>
                <c:pt idx="24">
                  <c:v>1055.3</c:v>
                </c:pt>
                <c:pt idx="25">
                  <c:v>1055.3</c:v>
                </c:pt>
                <c:pt idx="26">
                  <c:v>1055.3</c:v>
                </c:pt>
                <c:pt idx="27">
                  <c:v>1055.3</c:v>
                </c:pt>
                <c:pt idx="28">
                  <c:v>1055.3</c:v>
                </c:pt>
                <c:pt idx="29">
                  <c:v>1055.3</c:v>
                </c:pt>
                <c:pt idx="30">
                  <c:v>1055.3</c:v>
                </c:pt>
                <c:pt idx="31">
                  <c:v>1055.3</c:v>
                </c:pt>
                <c:pt idx="32">
                  <c:v>1055.3</c:v>
                </c:pt>
                <c:pt idx="33">
                  <c:v>1055.3</c:v>
                </c:pt>
                <c:pt idx="34">
                  <c:v>1055.3</c:v>
                </c:pt>
                <c:pt idx="35">
                  <c:v>1055.3</c:v>
                </c:pt>
                <c:pt idx="36">
                  <c:v>1055.3</c:v>
                </c:pt>
                <c:pt idx="37">
                  <c:v>1055.3</c:v>
                </c:pt>
                <c:pt idx="38">
                  <c:v>1055.3</c:v>
                </c:pt>
                <c:pt idx="39">
                  <c:v>1055.3</c:v>
                </c:pt>
                <c:pt idx="40">
                  <c:v>1055.3</c:v>
                </c:pt>
                <c:pt idx="41">
                  <c:v>1055.3</c:v>
                </c:pt>
                <c:pt idx="42">
                  <c:v>1055.3</c:v>
                </c:pt>
                <c:pt idx="43">
                  <c:v>1055.3</c:v>
                </c:pt>
                <c:pt idx="44">
                  <c:v>1055.3</c:v>
                </c:pt>
                <c:pt idx="45">
                  <c:v>1055.3</c:v>
                </c:pt>
                <c:pt idx="46">
                  <c:v>1055.3</c:v>
                </c:pt>
                <c:pt idx="47">
                  <c:v>1055.3</c:v>
                </c:pt>
                <c:pt idx="48">
                  <c:v>1055.3</c:v>
                </c:pt>
                <c:pt idx="49">
                  <c:v>1055.3</c:v>
                </c:pt>
                <c:pt idx="50">
                  <c:v>1055.3</c:v>
                </c:pt>
                <c:pt idx="51">
                  <c:v>1055.3</c:v>
                </c:pt>
                <c:pt idx="52">
                  <c:v>1055.3</c:v>
                </c:pt>
                <c:pt idx="53">
                  <c:v>1055.3</c:v>
                </c:pt>
                <c:pt idx="54">
                  <c:v>1055.3</c:v>
                </c:pt>
                <c:pt idx="55">
                  <c:v>1055.3</c:v>
                </c:pt>
                <c:pt idx="56">
                  <c:v>1055.3</c:v>
                </c:pt>
                <c:pt idx="57">
                  <c:v>1055.3</c:v>
                </c:pt>
                <c:pt idx="58">
                  <c:v>1055.3</c:v>
                </c:pt>
                <c:pt idx="59">
                  <c:v>1055.3</c:v>
                </c:pt>
                <c:pt idx="60">
                  <c:v>1055.3</c:v>
                </c:pt>
                <c:pt idx="61">
                  <c:v>1055.3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[0]!G9_XValues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[0]!G9_Data</c:f>
              <c:numCache>
                <c:formatCode>General</c:formatCode>
                <c:ptCount val="62"/>
                <c:pt idx="0">
                  <c:v>1051.51</c:v>
                </c:pt>
                <c:pt idx="1">
                  <c:v>1051.3800000000001</c:v>
                </c:pt>
                <c:pt idx="2">
                  <c:v>1051.45</c:v>
                </c:pt>
                <c:pt idx="3">
                  <c:v>1051.9000000000001</c:v>
                </c:pt>
                <c:pt idx="4">
                  <c:v>1051.2</c:v>
                </c:pt>
                <c:pt idx="5">
                  <c:v>1051.8</c:v>
                </c:pt>
                <c:pt idx="6">
                  <c:v>1051.4000000000001</c:v>
                </c:pt>
                <c:pt idx="7">
                  <c:v>1051.8</c:v>
                </c:pt>
                <c:pt idx="8">
                  <c:v>1051.8</c:v>
                </c:pt>
                <c:pt idx="9">
                  <c:v>1051.95</c:v>
                </c:pt>
                <c:pt idx="10">
                  <c:v>1051.21</c:v>
                </c:pt>
                <c:pt idx="11">
                  <c:v>1051.29</c:v>
                </c:pt>
                <c:pt idx="12">
                  <c:v>1050.8499999999999</c:v>
                </c:pt>
                <c:pt idx="13">
                  <c:v>1051.6500000000001</c:v>
                </c:pt>
                <c:pt idx="14">
                  <c:v>1051.2</c:v>
                </c:pt>
                <c:pt idx="15">
                  <c:v>1051.07</c:v>
                </c:pt>
                <c:pt idx="16">
                  <c:v>1050.99</c:v>
                </c:pt>
                <c:pt idx="17">
                  <c:v>1051.42</c:v>
                </c:pt>
                <c:pt idx="18">
                  <c:v>1051.5</c:v>
                </c:pt>
                <c:pt idx="19">
                  <c:v>1051.7</c:v>
                </c:pt>
                <c:pt idx="20">
                  <c:v>1051.8</c:v>
                </c:pt>
                <c:pt idx="21">
                  <c:v>1051.3599999999999</c:v>
                </c:pt>
                <c:pt idx="22">
                  <c:v>1051.8</c:v>
                </c:pt>
                <c:pt idx="23">
                  <c:v>1052.3</c:v>
                </c:pt>
                <c:pt idx="24">
                  <c:v>1052</c:v>
                </c:pt>
                <c:pt idx="25">
                  <c:v>1051.75</c:v>
                </c:pt>
                <c:pt idx="26">
                  <c:v>1051.83</c:v>
                </c:pt>
                <c:pt idx="27">
                  <c:v>1052</c:v>
                </c:pt>
                <c:pt idx="28">
                  <c:v>1051.3900000000001</c:v>
                </c:pt>
                <c:pt idx="29">
                  <c:v>1051.28</c:v>
                </c:pt>
                <c:pt idx="30">
                  <c:v>1051.43</c:v>
                </c:pt>
                <c:pt idx="31">
                  <c:v>1051.4100000000001</c:v>
                </c:pt>
                <c:pt idx="32">
                  <c:v>1051.26</c:v>
                </c:pt>
                <c:pt idx="33">
                  <c:v>1051.4100000000001</c:v>
                </c:pt>
                <c:pt idx="34">
                  <c:v>1051.5</c:v>
                </c:pt>
                <c:pt idx="35">
                  <c:v>1051.17</c:v>
                </c:pt>
                <c:pt idx="36">
                  <c:v>1051.83</c:v>
                </c:pt>
                <c:pt idx="37">
                  <c:v>1051.25</c:v>
                </c:pt>
                <c:pt idx="38">
                  <c:v>1051.44</c:v>
                </c:pt>
                <c:pt idx="39">
                  <c:v>1051.95</c:v>
                </c:pt>
                <c:pt idx="40">
                  <c:v>1051.6099999999999</c:v>
                </c:pt>
                <c:pt idx="41">
                  <c:v>1051.97</c:v>
                </c:pt>
                <c:pt idx="42">
                  <c:v>1051.8</c:v>
                </c:pt>
                <c:pt idx="43">
                  <c:v>1051.49</c:v>
                </c:pt>
                <c:pt idx="44">
                  <c:v>1051.78</c:v>
                </c:pt>
                <c:pt idx="45">
                  <c:v>1052.1500000000001</c:v>
                </c:pt>
                <c:pt idx="46">
                  <c:v>1050.9000000000001</c:v>
                </c:pt>
                <c:pt idx="47">
                  <c:v>1051.47</c:v>
                </c:pt>
                <c:pt idx="48">
                  <c:v>1051.51</c:v>
                </c:pt>
                <c:pt idx="49">
                  <c:v>1051.6099999999999</c:v>
                </c:pt>
                <c:pt idx="50">
                  <c:v>1051.9100000000001</c:v>
                </c:pt>
                <c:pt idx="51">
                  <c:v>1051.7</c:v>
                </c:pt>
                <c:pt idx="52">
                  <c:v>1051.56</c:v>
                </c:pt>
                <c:pt idx="53">
                  <c:v>1051.8800000000001</c:v>
                </c:pt>
                <c:pt idx="54">
                  <c:v>1052.06</c:v>
                </c:pt>
                <c:pt idx="55">
                  <c:v>1052.32</c:v>
                </c:pt>
                <c:pt idx="56">
                  <c:v>1051.79</c:v>
                </c:pt>
                <c:pt idx="57">
                  <c:v>1051.95</c:v>
                </c:pt>
                <c:pt idx="58">
                  <c:v>1051.6199999999999</c:v>
                </c:pt>
                <c:pt idx="59">
                  <c:v>1052.1600000000001</c:v>
                </c:pt>
                <c:pt idx="60">
                  <c:v>1051.4100000000001</c:v>
                </c:pt>
                <c:pt idx="61">
                  <c:v>1051.68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59968"/>
        <c:axId val="126261888"/>
      </c:lineChart>
      <c:catAx>
        <c:axId val="126259968"/>
        <c:scaling>
          <c:orientation val="minMax"/>
        </c:scaling>
        <c:delete val="1"/>
        <c:axPos val="b"/>
        <c:majorTickMark val="out"/>
        <c:minorTickMark val="none"/>
        <c:tickLblPos val="nextTo"/>
        <c:crossAx val="126261888"/>
        <c:crosses val="autoZero"/>
        <c:auto val="0"/>
        <c:lblAlgn val="ctr"/>
        <c:lblOffset val="100"/>
        <c:noMultiLvlLbl val="1"/>
      </c:catAx>
      <c:valAx>
        <c:axId val="126261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6259968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[0]!G10_XValues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[0]!G10_Nominal</c:f>
              <c:numCache>
                <c:formatCode>General</c:formatCode>
                <c:ptCount val="62"/>
                <c:pt idx="0">
                  <c:v>652</c:v>
                </c:pt>
                <c:pt idx="1">
                  <c:v>652</c:v>
                </c:pt>
                <c:pt idx="2">
                  <c:v>652</c:v>
                </c:pt>
                <c:pt idx="3">
                  <c:v>652</c:v>
                </c:pt>
                <c:pt idx="4">
                  <c:v>652</c:v>
                </c:pt>
                <c:pt idx="5">
                  <c:v>652</c:v>
                </c:pt>
                <c:pt idx="6">
                  <c:v>652</c:v>
                </c:pt>
                <c:pt idx="7">
                  <c:v>652</c:v>
                </c:pt>
                <c:pt idx="8">
                  <c:v>652</c:v>
                </c:pt>
                <c:pt idx="9">
                  <c:v>652</c:v>
                </c:pt>
                <c:pt idx="10">
                  <c:v>652</c:v>
                </c:pt>
                <c:pt idx="11">
                  <c:v>652</c:v>
                </c:pt>
                <c:pt idx="12">
                  <c:v>652</c:v>
                </c:pt>
                <c:pt idx="13">
                  <c:v>652</c:v>
                </c:pt>
                <c:pt idx="14">
                  <c:v>652</c:v>
                </c:pt>
                <c:pt idx="15">
                  <c:v>652</c:v>
                </c:pt>
                <c:pt idx="16">
                  <c:v>652</c:v>
                </c:pt>
                <c:pt idx="17">
                  <c:v>652</c:v>
                </c:pt>
                <c:pt idx="18">
                  <c:v>652</c:v>
                </c:pt>
                <c:pt idx="19">
                  <c:v>652</c:v>
                </c:pt>
                <c:pt idx="20">
                  <c:v>652</c:v>
                </c:pt>
                <c:pt idx="21">
                  <c:v>652</c:v>
                </c:pt>
                <c:pt idx="22">
                  <c:v>652</c:v>
                </c:pt>
                <c:pt idx="23">
                  <c:v>652</c:v>
                </c:pt>
                <c:pt idx="24">
                  <c:v>652</c:v>
                </c:pt>
                <c:pt idx="25">
                  <c:v>652</c:v>
                </c:pt>
                <c:pt idx="26">
                  <c:v>652</c:v>
                </c:pt>
                <c:pt idx="27">
                  <c:v>652</c:v>
                </c:pt>
                <c:pt idx="28">
                  <c:v>652</c:v>
                </c:pt>
                <c:pt idx="29">
                  <c:v>652</c:v>
                </c:pt>
                <c:pt idx="30">
                  <c:v>652</c:v>
                </c:pt>
                <c:pt idx="31">
                  <c:v>652</c:v>
                </c:pt>
                <c:pt idx="32">
                  <c:v>652</c:v>
                </c:pt>
                <c:pt idx="33">
                  <c:v>652</c:v>
                </c:pt>
                <c:pt idx="34">
                  <c:v>652</c:v>
                </c:pt>
                <c:pt idx="35">
                  <c:v>652</c:v>
                </c:pt>
                <c:pt idx="36">
                  <c:v>652</c:v>
                </c:pt>
                <c:pt idx="37">
                  <c:v>652</c:v>
                </c:pt>
                <c:pt idx="38">
                  <c:v>652</c:v>
                </c:pt>
                <c:pt idx="39">
                  <c:v>652</c:v>
                </c:pt>
                <c:pt idx="40">
                  <c:v>652</c:v>
                </c:pt>
                <c:pt idx="41">
                  <c:v>652</c:v>
                </c:pt>
                <c:pt idx="42">
                  <c:v>652</c:v>
                </c:pt>
                <c:pt idx="43">
                  <c:v>652</c:v>
                </c:pt>
                <c:pt idx="44">
                  <c:v>652</c:v>
                </c:pt>
                <c:pt idx="45">
                  <c:v>652</c:v>
                </c:pt>
                <c:pt idx="46">
                  <c:v>652</c:v>
                </c:pt>
                <c:pt idx="47">
                  <c:v>652</c:v>
                </c:pt>
                <c:pt idx="48">
                  <c:v>652</c:v>
                </c:pt>
                <c:pt idx="49">
                  <c:v>652</c:v>
                </c:pt>
                <c:pt idx="50">
                  <c:v>652</c:v>
                </c:pt>
                <c:pt idx="51">
                  <c:v>652</c:v>
                </c:pt>
                <c:pt idx="52">
                  <c:v>652</c:v>
                </c:pt>
                <c:pt idx="53">
                  <c:v>652</c:v>
                </c:pt>
                <c:pt idx="54">
                  <c:v>652</c:v>
                </c:pt>
                <c:pt idx="55">
                  <c:v>652</c:v>
                </c:pt>
                <c:pt idx="56">
                  <c:v>652</c:v>
                </c:pt>
                <c:pt idx="57">
                  <c:v>652</c:v>
                </c:pt>
                <c:pt idx="58">
                  <c:v>652</c:v>
                </c:pt>
                <c:pt idx="59">
                  <c:v>652</c:v>
                </c:pt>
                <c:pt idx="60">
                  <c:v>652</c:v>
                </c:pt>
                <c:pt idx="61">
                  <c:v>652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[0]!G10_XValues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[0]!G10_Lie</c:f>
              <c:numCache>
                <c:formatCode>General</c:formatCode>
                <c:ptCount val="62"/>
                <c:pt idx="0">
                  <c:v>649</c:v>
                </c:pt>
                <c:pt idx="1">
                  <c:v>649</c:v>
                </c:pt>
                <c:pt idx="2">
                  <c:v>649</c:v>
                </c:pt>
                <c:pt idx="3">
                  <c:v>649</c:v>
                </c:pt>
                <c:pt idx="4">
                  <c:v>649</c:v>
                </c:pt>
                <c:pt idx="5">
                  <c:v>649</c:v>
                </c:pt>
                <c:pt idx="6">
                  <c:v>649</c:v>
                </c:pt>
                <c:pt idx="7">
                  <c:v>649</c:v>
                </c:pt>
                <c:pt idx="8">
                  <c:v>649</c:v>
                </c:pt>
                <c:pt idx="9">
                  <c:v>649</c:v>
                </c:pt>
                <c:pt idx="10">
                  <c:v>649</c:v>
                </c:pt>
                <c:pt idx="11">
                  <c:v>649</c:v>
                </c:pt>
                <c:pt idx="12">
                  <c:v>649</c:v>
                </c:pt>
                <c:pt idx="13">
                  <c:v>649</c:v>
                </c:pt>
                <c:pt idx="14">
                  <c:v>649</c:v>
                </c:pt>
                <c:pt idx="15">
                  <c:v>649</c:v>
                </c:pt>
                <c:pt idx="16">
                  <c:v>649</c:v>
                </c:pt>
                <c:pt idx="17">
                  <c:v>649</c:v>
                </c:pt>
                <c:pt idx="18">
                  <c:v>649</c:v>
                </c:pt>
                <c:pt idx="19">
                  <c:v>649</c:v>
                </c:pt>
                <c:pt idx="20">
                  <c:v>649</c:v>
                </c:pt>
                <c:pt idx="21">
                  <c:v>649</c:v>
                </c:pt>
                <c:pt idx="22">
                  <c:v>649</c:v>
                </c:pt>
                <c:pt idx="23">
                  <c:v>649</c:v>
                </c:pt>
                <c:pt idx="24">
                  <c:v>649</c:v>
                </c:pt>
                <c:pt idx="25">
                  <c:v>649</c:v>
                </c:pt>
                <c:pt idx="26">
                  <c:v>649</c:v>
                </c:pt>
                <c:pt idx="27">
                  <c:v>649</c:v>
                </c:pt>
                <c:pt idx="28">
                  <c:v>649</c:v>
                </c:pt>
                <c:pt idx="29">
                  <c:v>649</c:v>
                </c:pt>
                <c:pt idx="30">
                  <c:v>649</c:v>
                </c:pt>
                <c:pt idx="31">
                  <c:v>649</c:v>
                </c:pt>
                <c:pt idx="32">
                  <c:v>649</c:v>
                </c:pt>
                <c:pt idx="33">
                  <c:v>649</c:v>
                </c:pt>
                <c:pt idx="34">
                  <c:v>649</c:v>
                </c:pt>
                <c:pt idx="35">
                  <c:v>649</c:v>
                </c:pt>
                <c:pt idx="36">
                  <c:v>649</c:v>
                </c:pt>
                <c:pt idx="37">
                  <c:v>649</c:v>
                </c:pt>
                <c:pt idx="38">
                  <c:v>649</c:v>
                </c:pt>
                <c:pt idx="39">
                  <c:v>649</c:v>
                </c:pt>
                <c:pt idx="40">
                  <c:v>649</c:v>
                </c:pt>
                <c:pt idx="41">
                  <c:v>649</c:v>
                </c:pt>
                <c:pt idx="42">
                  <c:v>649</c:v>
                </c:pt>
                <c:pt idx="43">
                  <c:v>649</c:v>
                </c:pt>
                <c:pt idx="44">
                  <c:v>649</c:v>
                </c:pt>
                <c:pt idx="45">
                  <c:v>649</c:v>
                </c:pt>
                <c:pt idx="46">
                  <c:v>649</c:v>
                </c:pt>
                <c:pt idx="47">
                  <c:v>649</c:v>
                </c:pt>
                <c:pt idx="48">
                  <c:v>649</c:v>
                </c:pt>
                <c:pt idx="49">
                  <c:v>649</c:v>
                </c:pt>
                <c:pt idx="50">
                  <c:v>649</c:v>
                </c:pt>
                <c:pt idx="51">
                  <c:v>649</c:v>
                </c:pt>
                <c:pt idx="52">
                  <c:v>649</c:v>
                </c:pt>
                <c:pt idx="53">
                  <c:v>649</c:v>
                </c:pt>
                <c:pt idx="54">
                  <c:v>649</c:v>
                </c:pt>
                <c:pt idx="55">
                  <c:v>649</c:v>
                </c:pt>
                <c:pt idx="56">
                  <c:v>649</c:v>
                </c:pt>
                <c:pt idx="57">
                  <c:v>649</c:v>
                </c:pt>
                <c:pt idx="58">
                  <c:v>649</c:v>
                </c:pt>
                <c:pt idx="59">
                  <c:v>649</c:v>
                </c:pt>
                <c:pt idx="60">
                  <c:v>649</c:v>
                </c:pt>
                <c:pt idx="61">
                  <c:v>649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[0]!G10_XValues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[0]!G10_Lse</c:f>
              <c:numCache>
                <c:formatCode>General</c:formatCode>
                <c:ptCount val="62"/>
                <c:pt idx="0">
                  <c:v>655</c:v>
                </c:pt>
                <c:pt idx="1">
                  <c:v>655</c:v>
                </c:pt>
                <c:pt idx="2">
                  <c:v>655</c:v>
                </c:pt>
                <c:pt idx="3">
                  <c:v>655</c:v>
                </c:pt>
                <c:pt idx="4">
                  <c:v>655</c:v>
                </c:pt>
                <c:pt idx="5">
                  <c:v>655</c:v>
                </c:pt>
                <c:pt idx="6">
                  <c:v>655</c:v>
                </c:pt>
                <c:pt idx="7">
                  <c:v>655</c:v>
                </c:pt>
                <c:pt idx="8">
                  <c:v>655</c:v>
                </c:pt>
                <c:pt idx="9">
                  <c:v>655</c:v>
                </c:pt>
                <c:pt idx="10">
                  <c:v>655</c:v>
                </c:pt>
                <c:pt idx="11">
                  <c:v>655</c:v>
                </c:pt>
                <c:pt idx="12">
                  <c:v>655</c:v>
                </c:pt>
                <c:pt idx="13">
                  <c:v>655</c:v>
                </c:pt>
                <c:pt idx="14">
                  <c:v>655</c:v>
                </c:pt>
                <c:pt idx="15">
                  <c:v>655</c:v>
                </c:pt>
                <c:pt idx="16">
                  <c:v>655</c:v>
                </c:pt>
                <c:pt idx="17">
                  <c:v>655</c:v>
                </c:pt>
                <c:pt idx="18">
                  <c:v>655</c:v>
                </c:pt>
                <c:pt idx="19">
                  <c:v>655</c:v>
                </c:pt>
                <c:pt idx="20">
                  <c:v>655</c:v>
                </c:pt>
                <c:pt idx="21">
                  <c:v>655</c:v>
                </c:pt>
                <c:pt idx="22">
                  <c:v>655</c:v>
                </c:pt>
                <c:pt idx="23">
                  <c:v>655</c:v>
                </c:pt>
                <c:pt idx="24">
                  <c:v>655</c:v>
                </c:pt>
                <c:pt idx="25">
                  <c:v>655</c:v>
                </c:pt>
                <c:pt idx="26">
                  <c:v>655</c:v>
                </c:pt>
                <c:pt idx="27">
                  <c:v>655</c:v>
                </c:pt>
                <c:pt idx="28">
                  <c:v>655</c:v>
                </c:pt>
                <c:pt idx="29">
                  <c:v>655</c:v>
                </c:pt>
                <c:pt idx="30">
                  <c:v>655</c:v>
                </c:pt>
                <c:pt idx="31">
                  <c:v>655</c:v>
                </c:pt>
                <c:pt idx="32">
                  <c:v>655</c:v>
                </c:pt>
                <c:pt idx="33">
                  <c:v>655</c:v>
                </c:pt>
                <c:pt idx="34">
                  <c:v>655</c:v>
                </c:pt>
                <c:pt idx="35">
                  <c:v>655</c:v>
                </c:pt>
                <c:pt idx="36">
                  <c:v>655</c:v>
                </c:pt>
                <c:pt idx="37">
                  <c:v>655</c:v>
                </c:pt>
                <c:pt idx="38">
                  <c:v>655</c:v>
                </c:pt>
                <c:pt idx="39">
                  <c:v>655</c:v>
                </c:pt>
                <c:pt idx="40">
                  <c:v>655</c:v>
                </c:pt>
                <c:pt idx="41">
                  <c:v>655</c:v>
                </c:pt>
                <c:pt idx="42">
                  <c:v>655</c:v>
                </c:pt>
                <c:pt idx="43">
                  <c:v>655</c:v>
                </c:pt>
                <c:pt idx="44">
                  <c:v>655</c:v>
                </c:pt>
                <c:pt idx="45">
                  <c:v>655</c:v>
                </c:pt>
                <c:pt idx="46">
                  <c:v>655</c:v>
                </c:pt>
                <c:pt idx="47">
                  <c:v>655</c:v>
                </c:pt>
                <c:pt idx="48">
                  <c:v>655</c:v>
                </c:pt>
                <c:pt idx="49">
                  <c:v>655</c:v>
                </c:pt>
                <c:pt idx="50">
                  <c:v>655</c:v>
                </c:pt>
                <c:pt idx="51">
                  <c:v>655</c:v>
                </c:pt>
                <c:pt idx="52">
                  <c:v>655</c:v>
                </c:pt>
                <c:pt idx="53">
                  <c:v>655</c:v>
                </c:pt>
                <c:pt idx="54">
                  <c:v>655</c:v>
                </c:pt>
                <c:pt idx="55">
                  <c:v>655</c:v>
                </c:pt>
                <c:pt idx="56">
                  <c:v>655</c:v>
                </c:pt>
                <c:pt idx="57">
                  <c:v>655</c:v>
                </c:pt>
                <c:pt idx="58">
                  <c:v>655</c:v>
                </c:pt>
                <c:pt idx="59">
                  <c:v>655</c:v>
                </c:pt>
                <c:pt idx="60">
                  <c:v>655</c:v>
                </c:pt>
                <c:pt idx="61">
                  <c:v>655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[0]!G10_XValues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[0]!G10_Data</c:f>
              <c:numCache>
                <c:formatCode>General</c:formatCode>
                <c:ptCount val="62"/>
                <c:pt idx="0">
                  <c:v>655.83</c:v>
                </c:pt>
                <c:pt idx="1">
                  <c:v>653.71</c:v>
                </c:pt>
                <c:pt idx="2">
                  <c:v>655.08000000000004</c:v>
                </c:pt>
                <c:pt idx="3">
                  <c:v>654.20000000000005</c:v>
                </c:pt>
                <c:pt idx="4">
                  <c:v>654.29999999999995</c:v>
                </c:pt>
                <c:pt idx="5">
                  <c:v>654.4</c:v>
                </c:pt>
                <c:pt idx="6">
                  <c:v>655</c:v>
                </c:pt>
                <c:pt idx="7">
                  <c:v>655.1</c:v>
                </c:pt>
                <c:pt idx="8">
                  <c:v>655.1</c:v>
                </c:pt>
                <c:pt idx="9">
                  <c:v>656.24</c:v>
                </c:pt>
                <c:pt idx="10">
                  <c:v>653.97</c:v>
                </c:pt>
                <c:pt idx="11">
                  <c:v>653.84</c:v>
                </c:pt>
                <c:pt idx="12">
                  <c:v>654.46</c:v>
                </c:pt>
                <c:pt idx="13">
                  <c:v>655.84</c:v>
                </c:pt>
                <c:pt idx="14">
                  <c:v>654.67999999999995</c:v>
                </c:pt>
                <c:pt idx="15">
                  <c:v>653.84</c:v>
                </c:pt>
                <c:pt idx="16">
                  <c:v>654.67999999999995</c:v>
                </c:pt>
                <c:pt idx="17">
                  <c:v>654.99</c:v>
                </c:pt>
                <c:pt idx="18">
                  <c:v>655.1</c:v>
                </c:pt>
                <c:pt idx="19">
                  <c:v>654.20000000000005</c:v>
                </c:pt>
                <c:pt idx="20">
                  <c:v>655.4</c:v>
                </c:pt>
                <c:pt idx="21">
                  <c:v>655.62</c:v>
                </c:pt>
                <c:pt idx="22">
                  <c:v>655.1</c:v>
                </c:pt>
                <c:pt idx="23">
                  <c:v>656.4</c:v>
                </c:pt>
                <c:pt idx="24">
                  <c:v>656.2</c:v>
                </c:pt>
                <c:pt idx="25">
                  <c:v>653.6</c:v>
                </c:pt>
                <c:pt idx="26">
                  <c:v>655.37</c:v>
                </c:pt>
                <c:pt idx="27">
                  <c:v>654.91999999999996</c:v>
                </c:pt>
                <c:pt idx="28">
                  <c:v>656.12</c:v>
                </c:pt>
                <c:pt idx="29">
                  <c:v>655.71</c:v>
                </c:pt>
                <c:pt idx="30">
                  <c:v>654.85</c:v>
                </c:pt>
                <c:pt idx="31">
                  <c:v>654.58000000000004</c:v>
                </c:pt>
                <c:pt idx="32">
                  <c:v>655.14</c:v>
                </c:pt>
                <c:pt idx="33">
                  <c:v>656</c:v>
                </c:pt>
                <c:pt idx="34">
                  <c:v>654.6</c:v>
                </c:pt>
                <c:pt idx="35">
                  <c:v>655.92</c:v>
                </c:pt>
                <c:pt idx="36">
                  <c:v>656.03</c:v>
                </c:pt>
                <c:pt idx="37">
                  <c:v>654.08000000000004</c:v>
                </c:pt>
                <c:pt idx="38">
                  <c:v>654.57000000000005</c:v>
                </c:pt>
                <c:pt idx="39">
                  <c:v>654.70000000000005</c:v>
                </c:pt>
                <c:pt idx="40">
                  <c:v>654.66</c:v>
                </c:pt>
                <c:pt idx="41">
                  <c:v>656.71</c:v>
                </c:pt>
                <c:pt idx="42">
                  <c:v>655.65</c:v>
                </c:pt>
                <c:pt idx="43">
                  <c:v>655.91</c:v>
                </c:pt>
                <c:pt idx="44">
                  <c:v>654.62</c:v>
                </c:pt>
                <c:pt idx="45">
                  <c:v>655.94</c:v>
                </c:pt>
                <c:pt idx="46">
                  <c:v>655.1</c:v>
                </c:pt>
                <c:pt idx="47">
                  <c:v>654.16999999999996</c:v>
                </c:pt>
                <c:pt idx="48">
                  <c:v>654.57000000000005</c:v>
                </c:pt>
                <c:pt idx="49">
                  <c:v>655.74</c:v>
                </c:pt>
                <c:pt idx="50">
                  <c:v>655.48</c:v>
                </c:pt>
                <c:pt idx="51">
                  <c:v>656.03</c:v>
                </c:pt>
                <c:pt idx="52">
                  <c:v>654.78</c:v>
                </c:pt>
                <c:pt idx="53">
                  <c:v>655.1</c:v>
                </c:pt>
                <c:pt idx="54">
                  <c:v>655.25</c:v>
                </c:pt>
                <c:pt idx="55">
                  <c:v>655.51</c:v>
                </c:pt>
                <c:pt idx="56">
                  <c:v>655.53</c:v>
                </c:pt>
                <c:pt idx="57">
                  <c:v>656.32</c:v>
                </c:pt>
                <c:pt idx="58">
                  <c:v>656.03</c:v>
                </c:pt>
                <c:pt idx="59">
                  <c:v>657.7</c:v>
                </c:pt>
                <c:pt idx="60">
                  <c:v>656.49</c:v>
                </c:pt>
                <c:pt idx="61">
                  <c:v>654.82000000000005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73792"/>
        <c:axId val="126275968"/>
      </c:lineChart>
      <c:catAx>
        <c:axId val="126273792"/>
        <c:scaling>
          <c:orientation val="minMax"/>
        </c:scaling>
        <c:delete val="1"/>
        <c:axPos val="b"/>
        <c:majorTickMark val="out"/>
        <c:minorTickMark val="none"/>
        <c:tickLblPos val="nextTo"/>
        <c:crossAx val="126275968"/>
        <c:crosses val="autoZero"/>
        <c:auto val="0"/>
        <c:lblAlgn val="ctr"/>
        <c:lblOffset val="100"/>
        <c:noMultiLvlLbl val="1"/>
      </c:catAx>
      <c:valAx>
        <c:axId val="126275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6273792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[0]!G11_XValues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[0]!G11_Nominal</c:f>
              <c:numCache>
                <c:formatCode>General</c:formatCode>
                <c:ptCount val="62"/>
                <c:pt idx="0">
                  <c:v>420</c:v>
                </c:pt>
                <c:pt idx="1">
                  <c:v>420</c:v>
                </c:pt>
                <c:pt idx="2">
                  <c:v>420</c:v>
                </c:pt>
                <c:pt idx="3">
                  <c:v>420</c:v>
                </c:pt>
                <c:pt idx="4">
                  <c:v>420</c:v>
                </c:pt>
                <c:pt idx="5">
                  <c:v>420</c:v>
                </c:pt>
                <c:pt idx="6">
                  <c:v>420</c:v>
                </c:pt>
                <c:pt idx="7">
                  <c:v>420</c:v>
                </c:pt>
                <c:pt idx="8">
                  <c:v>420</c:v>
                </c:pt>
                <c:pt idx="9">
                  <c:v>420</c:v>
                </c:pt>
                <c:pt idx="10">
                  <c:v>420</c:v>
                </c:pt>
                <c:pt idx="11">
                  <c:v>420</c:v>
                </c:pt>
                <c:pt idx="12">
                  <c:v>420</c:v>
                </c:pt>
                <c:pt idx="13">
                  <c:v>420</c:v>
                </c:pt>
                <c:pt idx="14">
                  <c:v>420</c:v>
                </c:pt>
                <c:pt idx="15">
                  <c:v>420</c:v>
                </c:pt>
                <c:pt idx="16">
                  <c:v>420</c:v>
                </c:pt>
                <c:pt idx="17">
                  <c:v>420</c:v>
                </c:pt>
                <c:pt idx="18">
                  <c:v>420</c:v>
                </c:pt>
                <c:pt idx="19">
                  <c:v>420</c:v>
                </c:pt>
                <c:pt idx="20">
                  <c:v>420</c:v>
                </c:pt>
                <c:pt idx="21">
                  <c:v>420</c:v>
                </c:pt>
                <c:pt idx="22">
                  <c:v>420</c:v>
                </c:pt>
                <c:pt idx="23">
                  <c:v>420</c:v>
                </c:pt>
                <c:pt idx="24">
                  <c:v>420</c:v>
                </c:pt>
                <c:pt idx="25">
                  <c:v>420</c:v>
                </c:pt>
                <c:pt idx="26">
                  <c:v>420</c:v>
                </c:pt>
                <c:pt idx="27">
                  <c:v>420</c:v>
                </c:pt>
                <c:pt idx="28">
                  <c:v>420</c:v>
                </c:pt>
                <c:pt idx="29">
                  <c:v>420</c:v>
                </c:pt>
                <c:pt idx="30">
                  <c:v>420</c:v>
                </c:pt>
                <c:pt idx="31">
                  <c:v>420</c:v>
                </c:pt>
                <c:pt idx="32">
                  <c:v>420</c:v>
                </c:pt>
                <c:pt idx="33">
                  <c:v>420</c:v>
                </c:pt>
                <c:pt idx="34">
                  <c:v>420</c:v>
                </c:pt>
                <c:pt idx="35">
                  <c:v>420</c:v>
                </c:pt>
                <c:pt idx="36">
                  <c:v>420</c:v>
                </c:pt>
                <c:pt idx="37">
                  <c:v>420</c:v>
                </c:pt>
                <c:pt idx="38">
                  <c:v>420</c:v>
                </c:pt>
                <c:pt idx="39">
                  <c:v>420</c:v>
                </c:pt>
                <c:pt idx="40">
                  <c:v>420</c:v>
                </c:pt>
                <c:pt idx="41">
                  <c:v>420</c:v>
                </c:pt>
                <c:pt idx="42">
                  <c:v>420</c:v>
                </c:pt>
                <c:pt idx="43">
                  <c:v>420</c:v>
                </c:pt>
                <c:pt idx="44">
                  <c:v>420</c:v>
                </c:pt>
                <c:pt idx="45">
                  <c:v>420</c:v>
                </c:pt>
                <c:pt idx="46">
                  <c:v>420</c:v>
                </c:pt>
                <c:pt idx="47">
                  <c:v>420</c:v>
                </c:pt>
                <c:pt idx="48">
                  <c:v>420</c:v>
                </c:pt>
                <c:pt idx="49">
                  <c:v>420</c:v>
                </c:pt>
                <c:pt idx="50">
                  <c:v>420</c:v>
                </c:pt>
                <c:pt idx="51">
                  <c:v>420</c:v>
                </c:pt>
                <c:pt idx="52">
                  <c:v>420</c:v>
                </c:pt>
                <c:pt idx="53">
                  <c:v>420</c:v>
                </c:pt>
                <c:pt idx="54">
                  <c:v>420</c:v>
                </c:pt>
                <c:pt idx="55">
                  <c:v>420</c:v>
                </c:pt>
                <c:pt idx="56">
                  <c:v>420</c:v>
                </c:pt>
                <c:pt idx="57">
                  <c:v>420</c:v>
                </c:pt>
                <c:pt idx="58">
                  <c:v>420</c:v>
                </c:pt>
                <c:pt idx="59">
                  <c:v>420</c:v>
                </c:pt>
                <c:pt idx="60">
                  <c:v>420</c:v>
                </c:pt>
                <c:pt idx="61">
                  <c:v>420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[0]!G11_XValues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[0]!G11_Lie</c:f>
              <c:numCache>
                <c:formatCode>General</c:formatCode>
                <c:ptCount val="62"/>
                <c:pt idx="0">
                  <c:v>416</c:v>
                </c:pt>
                <c:pt idx="1">
                  <c:v>416</c:v>
                </c:pt>
                <c:pt idx="2">
                  <c:v>416</c:v>
                </c:pt>
                <c:pt idx="3">
                  <c:v>416</c:v>
                </c:pt>
                <c:pt idx="4">
                  <c:v>416</c:v>
                </c:pt>
                <c:pt idx="5">
                  <c:v>416</c:v>
                </c:pt>
                <c:pt idx="6">
                  <c:v>416</c:v>
                </c:pt>
                <c:pt idx="7">
                  <c:v>416</c:v>
                </c:pt>
                <c:pt idx="8">
                  <c:v>416</c:v>
                </c:pt>
                <c:pt idx="9">
                  <c:v>416</c:v>
                </c:pt>
                <c:pt idx="10">
                  <c:v>416</c:v>
                </c:pt>
                <c:pt idx="11">
                  <c:v>416</c:v>
                </c:pt>
                <c:pt idx="12">
                  <c:v>416</c:v>
                </c:pt>
                <c:pt idx="13">
                  <c:v>416</c:v>
                </c:pt>
                <c:pt idx="14">
                  <c:v>416</c:v>
                </c:pt>
                <c:pt idx="15">
                  <c:v>416</c:v>
                </c:pt>
                <c:pt idx="16">
                  <c:v>416</c:v>
                </c:pt>
                <c:pt idx="17">
                  <c:v>416</c:v>
                </c:pt>
                <c:pt idx="18">
                  <c:v>416</c:v>
                </c:pt>
                <c:pt idx="19">
                  <c:v>416</c:v>
                </c:pt>
                <c:pt idx="20">
                  <c:v>416</c:v>
                </c:pt>
                <c:pt idx="21">
                  <c:v>416</c:v>
                </c:pt>
                <c:pt idx="22">
                  <c:v>416</c:v>
                </c:pt>
                <c:pt idx="23">
                  <c:v>416</c:v>
                </c:pt>
                <c:pt idx="24">
                  <c:v>416</c:v>
                </c:pt>
                <c:pt idx="25">
                  <c:v>416</c:v>
                </c:pt>
                <c:pt idx="26">
                  <c:v>416</c:v>
                </c:pt>
                <c:pt idx="27">
                  <c:v>416</c:v>
                </c:pt>
                <c:pt idx="28">
                  <c:v>416</c:v>
                </c:pt>
                <c:pt idx="29">
                  <c:v>416</c:v>
                </c:pt>
                <c:pt idx="30">
                  <c:v>416</c:v>
                </c:pt>
                <c:pt idx="31">
                  <c:v>416</c:v>
                </c:pt>
                <c:pt idx="32">
                  <c:v>416</c:v>
                </c:pt>
                <c:pt idx="33">
                  <c:v>416</c:v>
                </c:pt>
                <c:pt idx="34">
                  <c:v>416</c:v>
                </c:pt>
                <c:pt idx="35">
                  <c:v>416</c:v>
                </c:pt>
                <c:pt idx="36">
                  <c:v>416</c:v>
                </c:pt>
                <c:pt idx="37">
                  <c:v>416</c:v>
                </c:pt>
                <c:pt idx="38">
                  <c:v>416</c:v>
                </c:pt>
                <c:pt idx="39">
                  <c:v>416</c:v>
                </c:pt>
                <c:pt idx="40">
                  <c:v>416</c:v>
                </c:pt>
                <c:pt idx="41">
                  <c:v>416</c:v>
                </c:pt>
                <c:pt idx="42">
                  <c:v>416</c:v>
                </c:pt>
                <c:pt idx="43">
                  <c:v>416</c:v>
                </c:pt>
                <c:pt idx="44">
                  <c:v>416</c:v>
                </c:pt>
                <c:pt idx="45">
                  <c:v>416</c:v>
                </c:pt>
                <c:pt idx="46">
                  <c:v>416</c:v>
                </c:pt>
                <c:pt idx="47">
                  <c:v>416</c:v>
                </c:pt>
                <c:pt idx="48">
                  <c:v>416</c:v>
                </c:pt>
                <c:pt idx="49">
                  <c:v>416</c:v>
                </c:pt>
                <c:pt idx="50">
                  <c:v>416</c:v>
                </c:pt>
                <c:pt idx="51">
                  <c:v>416</c:v>
                </c:pt>
                <c:pt idx="52">
                  <c:v>416</c:v>
                </c:pt>
                <c:pt idx="53">
                  <c:v>416</c:v>
                </c:pt>
                <c:pt idx="54">
                  <c:v>416</c:v>
                </c:pt>
                <c:pt idx="55">
                  <c:v>416</c:v>
                </c:pt>
                <c:pt idx="56">
                  <c:v>416</c:v>
                </c:pt>
                <c:pt idx="57">
                  <c:v>416</c:v>
                </c:pt>
                <c:pt idx="58">
                  <c:v>416</c:v>
                </c:pt>
                <c:pt idx="59">
                  <c:v>416</c:v>
                </c:pt>
                <c:pt idx="60">
                  <c:v>416</c:v>
                </c:pt>
                <c:pt idx="61">
                  <c:v>416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[0]!G11_XValues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[0]!G11_Lse</c:f>
              <c:numCache>
                <c:formatCode>General</c:formatCode>
                <c:ptCount val="62"/>
                <c:pt idx="0">
                  <c:v>424</c:v>
                </c:pt>
                <c:pt idx="1">
                  <c:v>424</c:v>
                </c:pt>
                <c:pt idx="2">
                  <c:v>424</c:v>
                </c:pt>
                <c:pt idx="3">
                  <c:v>424</c:v>
                </c:pt>
                <c:pt idx="4">
                  <c:v>424</c:v>
                </c:pt>
                <c:pt idx="5">
                  <c:v>424</c:v>
                </c:pt>
                <c:pt idx="6">
                  <c:v>424</c:v>
                </c:pt>
                <c:pt idx="7">
                  <c:v>424</c:v>
                </c:pt>
                <c:pt idx="8">
                  <c:v>424</c:v>
                </c:pt>
                <c:pt idx="9">
                  <c:v>424</c:v>
                </c:pt>
                <c:pt idx="10">
                  <c:v>424</c:v>
                </c:pt>
                <c:pt idx="11">
                  <c:v>424</c:v>
                </c:pt>
                <c:pt idx="12">
                  <c:v>424</c:v>
                </c:pt>
                <c:pt idx="13">
                  <c:v>424</c:v>
                </c:pt>
                <c:pt idx="14">
                  <c:v>424</c:v>
                </c:pt>
                <c:pt idx="15">
                  <c:v>424</c:v>
                </c:pt>
                <c:pt idx="16">
                  <c:v>424</c:v>
                </c:pt>
                <c:pt idx="17">
                  <c:v>424</c:v>
                </c:pt>
                <c:pt idx="18">
                  <c:v>424</c:v>
                </c:pt>
                <c:pt idx="19">
                  <c:v>424</c:v>
                </c:pt>
                <c:pt idx="20">
                  <c:v>424</c:v>
                </c:pt>
                <c:pt idx="21">
                  <c:v>424</c:v>
                </c:pt>
                <c:pt idx="22">
                  <c:v>424</c:v>
                </c:pt>
                <c:pt idx="23">
                  <c:v>424</c:v>
                </c:pt>
                <c:pt idx="24">
                  <c:v>424</c:v>
                </c:pt>
                <c:pt idx="25">
                  <c:v>424</c:v>
                </c:pt>
                <c:pt idx="26">
                  <c:v>424</c:v>
                </c:pt>
                <c:pt idx="27">
                  <c:v>424</c:v>
                </c:pt>
                <c:pt idx="28">
                  <c:v>424</c:v>
                </c:pt>
                <c:pt idx="29">
                  <c:v>424</c:v>
                </c:pt>
                <c:pt idx="30">
                  <c:v>424</c:v>
                </c:pt>
                <c:pt idx="31">
                  <c:v>424</c:v>
                </c:pt>
                <c:pt idx="32">
                  <c:v>424</c:v>
                </c:pt>
                <c:pt idx="33">
                  <c:v>424</c:v>
                </c:pt>
                <c:pt idx="34">
                  <c:v>424</c:v>
                </c:pt>
                <c:pt idx="35">
                  <c:v>424</c:v>
                </c:pt>
                <c:pt idx="36">
                  <c:v>424</c:v>
                </c:pt>
                <c:pt idx="37">
                  <c:v>424</c:v>
                </c:pt>
                <c:pt idx="38">
                  <c:v>424</c:v>
                </c:pt>
                <c:pt idx="39">
                  <c:v>424</c:v>
                </c:pt>
                <c:pt idx="40">
                  <c:v>424</c:v>
                </c:pt>
                <c:pt idx="41">
                  <c:v>424</c:v>
                </c:pt>
                <c:pt idx="42">
                  <c:v>424</c:v>
                </c:pt>
                <c:pt idx="43">
                  <c:v>424</c:v>
                </c:pt>
                <c:pt idx="44">
                  <c:v>424</c:v>
                </c:pt>
                <c:pt idx="45">
                  <c:v>424</c:v>
                </c:pt>
                <c:pt idx="46">
                  <c:v>424</c:v>
                </c:pt>
                <c:pt idx="47">
                  <c:v>424</c:v>
                </c:pt>
                <c:pt idx="48">
                  <c:v>424</c:v>
                </c:pt>
                <c:pt idx="49">
                  <c:v>424</c:v>
                </c:pt>
                <c:pt idx="50">
                  <c:v>424</c:v>
                </c:pt>
                <c:pt idx="51">
                  <c:v>424</c:v>
                </c:pt>
                <c:pt idx="52">
                  <c:v>424</c:v>
                </c:pt>
                <c:pt idx="53">
                  <c:v>424</c:v>
                </c:pt>
                <c:pt idx="54">
                  <c:v>424</c:v>
                </c:pt>
                <c:pt idx="55">
                  <c:v>424</c:v>
                </c:pt>
                <c:pt idx="56">
                  <c:v>424</c:v>
                </c:pt>
                <c:pt idx="57">
                  <c:v>424</c:v>
                </c:pt>
                <c:pt idx="58">
                  <c:v>424</c:v>
                </c:pt>
                <c:pt idx="59">
                  <c:v>424</c:v>
                </c:pt>
                <c:pt idx="60">
                  <c:v>424</c:v>
                </c:pt>
                <c:pt idx="61">
                  <c:v>424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[0]!G11_XValues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[0]!G11_Data</c:f>
              <c:numCache>
                <c:formatCode>General</c:formatCode>
                <c:ptCount val="62"/>
                <c:pt idx="0">
                  <c:v>418.61</c:v>
                </c:pt>
                <c:pt idx="1">
                  <c:v>420.34</c:v>
                </c:pt>
                <c:pt idx="2">
                  <c:v>419.95</c:v>
                </c:pt>
                <c:pt idx="3">
                  <c:v>420.6</c:v>
                </c:pt>
                <c:pt idx="4">
                  <c:v>418.6</c:v>
                </c:pt>
                <c:pt idx="5">
                  <c:v>419.9</c:v>
                </c:pt>
                <c:pt idx="6">
                  <c:v>418.9</c:v>
                </c:pt>
                <c:pt idx="7">
                  <c:v>419.7</c:v>
                </c:pt>
                <c:pt idx="8">
                  <c:v>421.2</c:v>
                </c:pt>
                <c:pt idx="9">
                  <c:v>420.44</c:v>
                </c:pt>
                <c:pt idx="10">
                  <c:v>419.25</c:v>
                </c:pt>
                <c:pt idx="11">
                  <c:v>419.96</c:v>
                </c:pt>
                <c:pt idx="12">
                  <c:v>420.27</c:v>
                </c:pt>
                <c:pt idx="13">
                  <c:v>420.36</c:v>
                </c:pt>
                <c:pt idx="14">
                  <c:v>421.26</c:v>
                </c:pt>
                <c:pt idx="15">
                  <c:v>421.3</c:v>
                </c:pt>
                <c:pt idx="16">
                  <c:v>420.12</c:v>
                </c:pt>
                <c:pt idx="17">
                  <c:v>419.48</c:v>
                </c:pt>
                <c:pt idx="18">
                  <c:v>421.4</c:v>
                </c:pt>
                <c:pt idx="19">
                  <c:v>421.2</c:v>
                </c:pt>
                <c:pt idx="20">
                  <c:v>421.2</c:v>
                </c:pt>
                <c:pt idx="21">
                  <c:v>419.63</c:v>
                </c:pt>
                <c:pt idx="22">
                  <c:v>420.1</c:v>
                </c:pt>
                <c:pt idx="23">
                  <c:v>421.1</c:v>
                </c:pt>
                <c:pt idx="24">
                  <c:v>421.4</c:v>
                </c:pt>
                <c:pt idx="25">
                  <c:v>421.09</c:v>
                </c:pt>
                <c:pt idx="26">
                  <c:v>420.59</c:v>
                </c:pt>
                <c:pt idx="27">
                  <c:v>419.16</c:v>
                </c:pt>
                <c:pt idx="28">
                  <c:v>420.18</c:v>
                </c:pt>
                <c:pt idx="29">
                  <c:v>420.98</c:v>
                </c:pt>
                <c:pt idx="30">
                  <c:v>420.5</c:v>
                </c:pt>
                <c:pt idx="31">
                  <c:v>419.6</c:v>
                </c:pt>
                <c:pt idx="32">
                  <c:v>420.67</c:v>
                </c:pt>
                <c:pt idx="33">
                  <c:v>419.34</c:v>
                </c:pt>
                <c:pt idx="34">
                  <c:v>419.8</c:v>
                </c:pt>
                <c:pt idx="35">
                  <c:v>420.53</c:v>
                </c:pt>
                <c:pt idx="36">
                  <c:v>419.37</c:v>
                </c:pt>
                <c:pt idx="37">
                  <c:v>420.56</c:v>
                </c:pt>
                <c:pt idx="38">
                  <c:v>420.32</c:v>
                </c:pt>
                <c:pt idx="39">
                  <c:v>419.68</c:v>
                </c:pt>
                <c:pt idx="40">
                  <c:v>420.14</c:v>
                </c:pt>
                <c:pt idx="41">
                  <c:v>418.37</c:v>
                </c:pt>
                <c:pt idx="42">
                  <c:v>419.92</c:v>
                </c:pt>
                <c:pt idx="43">
                  <c:v>420.17</c:v>
                </c:pt>
                <c:pt idx="44">
                  <c:v>419.79</c:v>
                </c:pt>
                <c:pt idx="45">
                  <c:v>420.7</c:v>
                </c:pt>
                <c:pt idx="46">
                  <c:v>418.85</c:v>
                </c:pt>
                <c:pt idx="47">
                  <c:v>420.43</c:v>
                </c:pt>
                <c:pt idx="48">
                  <c:v>420.55</c:v>
                </c:pt>
                <c:pt idx="49">
                  <c:v>421.05</c:v>
                </c:pt>
                <c:pt idx="50">
                  <c:v>420.7</c:v>
                </c:pt>
                <c:pt idx="51">
                  <c:v>418.44</c:v>
                </c:pt>
                <c:pt idx="52">
                  <c:v>421.33</c:v>
                </c:pt>
                <c:pt idx="53">
                  <c:v>420.55</c:v>
                </c:pt>
                <c:pt idx="54">
                  <c:v>420.31</c:v>
                </c:pt>
                <c:pt idx="55">
                  <c:v>420.78</c:v>
                </c:pt>
                <c:pt idx="56">
                  <c:v>418.89</c:v>
                </c:pt>
                <c:pt idx="57">
                  <c:v>420.32</c:v>
                </c:pt>
                <c:pt idx="58">
                  <c:v>420.28</c:v>
                </c:pt>
                <c:pt idx="59">
                  <c:v>420.76</c:v>
                </c:pt>
                <c:pt idx="60">
                  <c:v>419.3</c:v>
                </c:pt>
                <c:pt idx="61">
                  <c:v>420.88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04832"/>
        <c:axId val="125306752"/>
      </c:lineChart>
      <c:catAx>
        <c:axId val="125304832"/>
        <c:scaling>
          <c:orientation val="minMax"/>
        </c:scaling>
        <c:delete val="1"/>
        <c:axPos val="b"/>
        <c:majorTickMark val="out"/>
        <c:minorTickMark val="none"/>
        <c:tickLblPos val="nextTo"/>
        <c:crossAx val="125306752"/>
        <c:crosses val="autoZero"/>
        <c:auto val="0"/>
        <c:lblAlgn val="ctr"/>
        <c:lblOffset val="100"/>
        <c:noMultiLvlLbl val="1"/>
      </c:catAx>
      <c:valAx>
        <c:axId val="125306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5304832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[0]!G12_XValues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[0]!G12_Nominal</c:f>
              <c:numCache>
                <c:formatCode>General</c:formatCode>
                <c:ptCount val="62"/>
                <c:pt idx="0">
                  <c:v>-459.6</c:v>
                </c:pt>
                <c:pt idx="1">
                  <c:v>-459.6</c:v>
                </c:pt>
                <c:pt idx="2">
                  <c:v>-459.6</c:v>
                </c:pt>
                <c:pt idx="3">
                  <c:v>-459.6</c:v>
                </c:pt>
                <c:pt idx="4">
                  <c:v>-459.6</c:v>
                </c:pt>
                <c:pt idx="5">
                  <c:v>-459.6</c:v>
                </c:pt>
                <c:pt idx="6">
                  <c:v>-459.6</c:v>
                </c:pt>
                <c:pt idx="7">
                  <c:v>-459.6</c:v>
                </c:pt>
                <c:pt idx="8">
                  <c:v>-459.6</c:v>
                </c:pt>
                <c:pt idx="9">
                  <c:v>-459.6</c:v>
                </c:pt>
                <c:pt idx="10">
                  <c:v>-459.6</c:v>
                </c:pt>
                <c:pt idx="11">
                  <c:v>-459.6</c:v>
                </c:pt>
                <c:pt idx="12">
                  <c:v>-459.6</c:v>
                </c:pt>
                <c:pt idx="13">
                  <c:v>-459.6</c:v>
                </c:pt>
                <c:pt idx="14">
                  <c:v>-459.6</c:v>
                </c:pt>
                <c:pt idx="15">
                  <c:v>-459.6</c:v>
                </c:pt>
                <c:pt idx="16">
                  <c:v>-459.6</c:v>
                </c:pt>
                <c:pt idx="17">
                  <c:v>-459.6</c:v>
                </c:pt>
                <c:pt idx="18">
                  <c:v>-459.6</c:v>
                </c:pt>
                <c:pt idx="19">
                  <c:v>-459.6</c:v>
                </c:pt>
                <c:pt idx="20">
                  <c:v>-459.6</c:v>
                </c:pt>
                <c:pt idx="21">
                  <c:v>-459.6</c:v>
                </c:pt>
                <c:pt idx="22">
                  <c:v>-459.6</c:v>
                </c:pt>
                <c:pt idx="23">
                  <c:v>-459.6</c:v>
                </c:pt>
                <c:pt idx="24">
                  <c:v>-459.6</c:v>
                </c:pt>
                <c:pt idx="25">
                  <c:v>-459.6</c:v>
                </c:pt>
                <c:pt idx="26">
                  <c:v>-459.6</c:v>
                </c:pt>
                <c:pt idx="27">
                  <c:v>-459.6</c:v>
                </c:pt>
                <c:pt idx="28">
                  <c:v>-459.6</c:v>
                </c:pt>
                <c:pt idx="29">
                  <c:v>-459.6</c:v>
                </c:pt>
                <c:pt idx="30">
                  <c:v>-459.6</c:v>
                </c:pt>
                <c:pt idx="31">
                  <c:v>-459.6</c:v>
                </c:pt>
                <c:pt idx="32">
                  <c:v>-459.6</c:v>
                </c:pt>
                <c:pt idx="33">
                  <c:v>-459.6</c:v>
                </c:pt>
                <c:pt idx="34">
                  <c:v>-459.6</c:v>
                </c:pt>
                <c:pt idx="35">
                  <c:v>-459.6</c:v>
                </c:pt>
                <c:pt idx="36">
                  <c:v>-459.6</c:v>
                </c:pt>
                <c:pt idx="37">
                  <c:v>-459.6</c:v>
                </c:pt>
                <c:pt idx="38">
                  <c:v>-459.6</c:v>
                </c:pt>
                <c:pt idx="39">
                  <c:v>-459.6</c:v>
                </c:pt>
                <c:pt idx="40">
                  <c:v>-459.6</c:v>
                </c:pt>
                <c:pt idx="41">
                  <c:v>-459.6</c:v>
                </c:pt>
                <c:pt idx="42">
                  <c:v>-459.6</c:v>
                </c:pt>
                <c:pt idx="43">
                  <c:v>-459.6</c:v>
                </c:pt>
                <c:pt idx="44">
                  <c:v>-459.6</c:v>
                </c:pt>
                <c:pt idx="45">
                  <c:v>-459.6</c:v>
                </c:pt>
                <c:pt idx="46">
                  <c:v>-459.6</c:v>
                </c:pt>
                <c:pt idx="47">
                  <c:v>-459.6</c:v>
                </c:pt>
                <c:pt idx="48">
                  <c:v>-459.6</c:v>
                </c:pt>
                <c:pt idx="49">
                  <c:v>-459.6</c:v>
                </c:pt>
                <c:pt idx="50">
                  <c:v>-459.6</c:v>
                </c:pt>
                <c:pt idx="51">
                  <c:v>-459.6</c:v>
                </c:pt>
                <c:pt idx="52">
                  <c:v>-459.6</c:v>
                </c:pt>
                <c:pt idx="53">
                  <c:v>-459.6</c:v>
                </c:pt>
                <c:pt idx="54">
                  <c:v>-459.6</c:v>
                </c:pt>
                <c:pt idx="55">
                  <c:v>-459.6</c:v>
                </c:pt>
                <c:pt idx="56">
                  <c:v>-459.6</c:v>
                </c:pt>
                <c:pt idx="57">
                  <c:v>-459.6</c:v>
                </c:pt>
                <c:pt idx="58">
                  <c:v>-459.6</c:v>
                </c:pt>
                <c:pt idx="59">
                  <c:v>-459.6</c:v>
                </c:pt>
                <c:pt idx="60">
                  <c:v>-459.6</c:v>
                </c:pt>
                <c:pt idx="61">
                  <c:v>-459.6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[0]!G12_XValues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[0]!G12_Lie</c:f>
              <c:numCache>
                <c:formatCode>General</c:formatCode>
                <c:ptCount val="62"/>
                <c:pt idx="0">
                  <c:v>-463.6</c:v>
                </c:pt>
                <c:pt idx="1">
                  <c:v>-463.6</c:v>
                </c:pt>
                <c:pt idx="2">
                  <c:v>-463.6</c:v>
                </c:pt>
                <c:pt idx="3">
                  <c:v>-463.6</c:v>
                </c:pt>
                <c:pt idx="4">
                  <c:v>-463.6</c:v>
                </c:pt>
                <c:pt idx="5">
                  <c:v>-463.6</c:v>
                </c:pt>
                <c:pt idx="6">
                  <c:v>-463.6</c:v>
                </c:pt>
                <c:pt idx="7">
                  <c:v>-463.6</c:v>
                </c:pt>
                <c:pt idx="8">
                  <c:v>-463.6</c:v>
                </c:pt>
                <c:pt idx="9">
                  <c:v>-463.6</c:v>
                </c:pt>
                <c:pt idx="10">
                  <c:v>-463.6</c:v>
                </c:pt>
                <c:pt idx="11">
                  <c:v>-463.6</c:v>
                </c:pt>
                <c:pt idx="12">
                  <c:v>-463.6</c:v>
                </c:pt>
                <c:pt idx="13">
                  <c:v>-463.6</c:v>
                </c:pt>
                <c:pt idx="14">
                  <c:v>-463.6</c:v>
                </c:pt>
                <c:pt idx="15">
                  <c:v>-463.6</c:v>
                </c:pt>
                <c:pt idx="16">
                  <c:v>-463.6</c:v>
                </c:pt>
                <c:pt idx="17">
                  <c:v>-463.6</c:v>
                </c:pt>
                <c:pt idx="18">
                  <c:v>-463.6</c:v>
                </c:pt>
                <c:pt idx="19">
                  <c:v>-463.6</c:v>
                </c:pt>
                <c:pt idx="20">
                  <c:v>-463.6</c:v>
                </c:pt>
                <c:pt idx="21">
                  <c:v>-463.6</c:v>
                </c:pt>
                <c:pt idx="22">
                  <c:v>-463.6</c:v>
                </c:pt>
                <c:pt idx="23">
                  <c:v>-463.6</c:v>
                </c:pt>
                <c:pt idx="24">
                  <c:v>-463.6</c:v>
                </c:pt>
                <c:pt idx="25">
                  <c:v>-463.6</c:v>
                </c:pt>
                <c:pt idx="26">
                  <c:v>-463.6</c:v>
                </c:pt>
                <c:pt idx="27">
                  <c:v>-463.6</c:v>
                </c:pt>
                <c:pt idx="28">
                  <c:v>-463.6</c:v>
                </c:pt>
                <c:pt idx="29">
                  <c:v>-463.6</c:v>
                </c:pt>
                <c:pt idx="30">
                  <c:v>-463.6</c:v>
                </c:pt>
                <c:pt idx="31">
                  <c:v>-463.6</c:v>
                </c:pt>
                <c:pt idx="32">
                  <c:v>-463.6</c:v>
                </c:pt>
                <c:pt idx="33">
                  <c:v>-463.6</c:v>
                </c:pt>
                <c:pt idx="34">
                  <c:v>-463.6</c:v>
                </c:pt>
                <c:pt idx="35">
                  <c:v>-463.6</c:v>
                </c:pt>
                <c:pt idx="36">
                  <c:v>-463.6</c:v>
                </c:pt>
                <c:pt idx="37">
                  <c:v>-463.6</c:v>
                </c:pt>
                <c:pt idx="38">
                  <c:v>-463.6</c:v>
                </c:pt>
                <c:pt idx="39">
                  <c:v>-463.6</c:v>
                </c:pt>
                <c:pt idx="40">
                  <c:v>-463.6</c:v>
                </c:pt>
                <c:pt idx="41">
                  <c:v>-463.6</c:v>
                </c:pt>
                <c:pt idx="42">
                  <c:v>-463.6</c:v>
                </c:pt>
                <c:pt idx="43">
                  <c:v>-463.6</c:v>
                </c:pt>
                <c:pt idx="44">
                  <c:v>-463.6</c:v>
                </c:pt>
                <c:pt idx="45">
                  <c:v>-463.6</c:v>
                </c:pt>
                <c:pt idx="46">
                  <c:v>-463.6</c:v>
                </c:pt>
                <c:pt idx="47">
                  <c:v>-463.6</c:v>
                </c:pt>
                <c:pt idx="48">
                  <c:v>-463.6</c:v>
                </c:pt>
                <c:pt idx="49">
                  <c:v>-463.6</c:v>
                </c:pt>
                <c:pt idx="50">
                  <c:v>-463.6</c:v>
                </c:pt>
                <c:pt idx="51">
                  <c:v>-463.6</c:v>
                </c:pt>
                <c:pt idx="52">
                  <c:v>-463.6</c:v>
                </c:pt>
                <c:pt idx="53">
                  <c:v>-463.6</c:v>
                </c:pt>
                <c:pt idx="54">
                  <c:v>-463.6</c:v>
                </c:pt>
                <c:pt idx="55">
                  <c:v>-463.6</c:v>
                </c:pt>
                <c:pt idx="56">
                  <c:v>-463.6</c:v>
                </c:pt>
                <c:pt idx="57">
                  <c:v>-463.6</c:v>
                </c:pt>
                <c:pt idx="58">
                  <c:v>-463.6</c:v>
                </c:pt>
                <c:pt idx="59">
                  <c:v>-463.6</c:v>
                </c:pt>
                <c:pt idx="60">
                  <c:v>-463.6</c:v>
                </c:pt>
                <c:pt idx="61">
                  <c:v>-463.6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[0]!G12_XValues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[0]!G12_Lse</c:f>
              <c:numCache>
                <c:formatCode>General</c:formatCode>
                <c:ptCount val="62"/>
                <c:pt idx="0">
                  <c:v>-455.6</c:v>
                </c:pt>
                <c:pt idx="1">
                  <c:v>-455.6</c:v>
                </c:pt>
                <c:pt idx="2">
                  <c:v>-455.6</c:v>
                </c:pt>
                <c:pt idx="3">
                  <c:v>-455.6</c:v>
                </c:pt>
                <c:pt idx="4">
                  <c:v>-455.6</c:v>
                </c:pt>
                <c:pt idx="5">
                  <c:v>-455.6</c:v>
                </c:pt>
                <c:pt idx="6">
                  <c:v>-455.6</c:v>
                </c:pt>
                <c:pt idx="7">
                  <c:v>-455.6</c:v>
                </c:pt>
                <c:pt idx="8">
                  <c:v>-455.6</c:v>
                </c:pt>
                <c:pt idx="9">
                  <c:v>-455.6</c:v>
                </c:pt>
                <c:pt idx="10">
                  <c:v>-455.6</c:v>
                </c:pt>
                <c:pt idx="11">
                  <c:v>-455.6</c:v>
                </c:pt>
                <c:pt idx="12">
                  <c:v>-455.6</c:v>
                </c:pt>
                <c:pt idx="13">
                  <c:v>-455.6</c:v>
                </c:pt>
                <c:pt idx="14">
                  <c:v>-455.6</c:v>
                </c:pt>
                <c:pt idx="15">
                  <c:v>-455.6</c:v>
                </c:pt>
                <c:pt idx="16">
                  <c:v>-455.6</c:v>
                </c:pt>
                <c:pt idx="17">
                  <c:v>-455.6</c:v>
                </c:pt>
                <c:pt idx="18">
                  <c:v>-455.6</c:v>
                </c:pt>
                <c:pt idx="19">
                  <c:v>-455.6</c:v>
                </c:pt>
                <c:pt idx="20">
                  <c:v>-455.6</c:v>
                </c:pt>
                <c:pt idx="21">
                  <c:v>-455.6</c:v>
                </c:pt>
                <c:pt idx="22">
                  <c:v>-455.6</c:v>
                </c:pt>
                <c:pt idx="23">
                  <c:v>-455.6</c:v>
                </c:pt>
                <c:pt idx="24">
                  <c:v>-455.6</c:v>
                </c:pt>
                <c:pt idx="25">
                  <c:v>-455.6</c:v>
                </c:pt>
                <c:pt idx="26">
                  <c:v>-455.6</c:v>
                </c:pt>
                <c:pt idx="27">
                  <c:v>-455.6</c:v>
                </c:pt>
                <c:pt idx="28">
                  <c:v>-455.6</c:v>
                </c:pt>
                <c:pt idx="29">
                  <c:v>-455.6</c:v>
                </c:pt>
                <c:pt idx="30">
                  <c:v>-455.6</c:v>
                </c:pt>
                <c:pt idx="31">
                  <c:v>-455.6</c:v>
                </c:pt>
                <c:pt idx="32">
                  <c:v>-455.6</c:v>
                </c:pt>
                <c:pt idx="33">
                  <c:v>-455.6</c:v>
                </c:pt>
                <c:pt idx="34">
                  <c:v>-455.6</c:v>
                </c:pt>
                <c:pt idx="35">
                  <c:v>-455.6</c:v>
                </c:pt>
                <c:pt idx="36">
                  <c:v>-455.6</c:v>
                </c:pt>
                <c:pt idx="37">
                  <c:v>-455.6</c:v>
                </c:pt>
                <c:pt idx="38">
                  <c:v>-455.6</c:v>
                </c:pt>
                <c:pt idx="39">
                  <c:v>-455.6</c:v>
                </c:pt>
                <c:pt idx="40">
                  <c:v>-455.6</c:v>
                </c:pt>
                <c:pt idx="41">
                  <c:v>-455.6</c:v>
                </c:pt>
                <c:pt idx="42">
                  <c:v>-455.6</c:v>
                </c:pt>
                <c:pt idx="43">
                  <c:v>-455.6</c:v>
                </c:pt>
                <c:pt idx="44">
                  <c:v>-455.6</c:v>
                </c:pt>
                <c:pt idx="45">
                  <c:v>-455.6</c:v>
                </c:pt>
                <c:pt idx="46">
                  <c:v>-455.6</c:v>
                </c:pt>
                <c:pt idx="47">
                  <c:v>-455.6</c:v>
                </c:pt>
                <c:pt idx="48">
                  <c:v>-455.6</c:v>
                </c:pt>
                <c:pt idx="49">
                  <c:v>-455.6</c:v>
                </c:pt>
                <c:pt idx="50">
                  <c:v>-455.6</c:v>
                </c:pt>
                <c:pt idx="51">
                  <c:v>-455.6</c:v>
                </c:pt>
                <c:pt idx="52">
                  <c:v>-455.6</c:v>
                </c:pt>
                <c:pt idx="53">
                  <c:v>-455.6</c:v>
                </c:pt>
                <c:pt idx="54">
                  <c:v>-455.6</c:v>
                </c:pt>
                <c:pt idx="55">
                  <c:v>-455.6</c:v>
                </c:pt>
                <c:pt idx="56">
                  <c:v>-455.6</c:v>
                </c:pt>
                <c:pt idx="57">
                  <c:v>-455.6</c:v>
                </c:pt>
                <c:pt idx="58">
                  <c:v>-455.6</c:v>
                </c:pt>
                <c:pt idx="59">
                  <c:v>-455.6</c:v>
                </c:pt>
                <c:pt idx="60">
                  <c:v>-455.6</c:v>
                </c:pt>
                <c:pt idx="61">
                  <c:v>-455.6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[0]!G12_XValues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[0]!G12_Data</c:f>
              <c:numCache>
                <c:formatCode>General</c:formatCode>
                <c:ptCount val="62"/>
                <c:pt idx="0">
                  <c:v>-460.07</c:v>
                </c:pt>
                <c:pt idx="1">
                  <c:v>-460.24</c:v>
                </c:pt>
                <c:pt idx="2">
                  <c:v>-460.23</c:v>
                </c:pt>
                <c:pt idx="3">
                  <c:v>-459.9</c:v>
                </c:pt>
                <c:pt idx="4">
                  <c:v>-460.6</c:v>
                </c:pt>
                <c:pt idx="5">
                  <c:v>-460.5</c:v>
                </c:pt>
                <c:pt idx="6">
                  <c:v>-460.8</c:v>
                </c:pt>
                <c:pt idx="7">
                  <c:v>-460.3</c:v>
                </c:pt>
                <c:pt idx="8">
                  <c:v>-460.6</c:v>
                </c:pt>
                <c:pt idx="9">
                  <c:v>-460.34</c:v>
                </c:pt>
                <c:pt idx="10">
                  <c:v>-460.43</c:v>
                </c:pt>
                <c:pt idx="11">
                  <c:v>-460.35</c:v>
                </c:pt>
                <c:pt idx="12">
                  <c:v>-459.59</c:v>
                </c:pt>
                <c:pt idx="13">
                  <c:v>-460.31</c:v>
                </c:pt>
                <c:pt idx="14">
                  <c:v>-460.31</c:v>
                </c:pt>
                <c:pt idx="15">
                  <c:v>-460.68</c:v>
                </c:pt>
                <c:pt idx="16">
                  <c:v>-460.39</c:v>
                </c:pt>
                <c:pt idx="17">
                  <c:v>-460.21</c:v>
                </c:pt>
                <c:pt idx="18">
                  <c:v>-461.1</c:v>
                </c:pt>
                <c:pt idx="19">
                  <c:v>-460.2</c:v>
                </c:pt>
                <c:pt idx="20">
                  <c:v>-461.3</c:v>
                </c:pt>
                <c:pt idx="21">
                  <c:v>-460.32</c:v>
                </c:pt>
                <c:pt idx="22">
                  <c:v>-461.1</c:v>
                </c:pt>
                <c:pt idx="23">
                  <c:v>-461.3</c:v>
                </c:pt>
                <c:pt idx="24">
                  <c:v>-460.9</c:v>
                </c:pt>
                <c:pt idx="25">
                  <c:v>-460.7</c:v>
                </c:pt>
                <c:pt idx="26">
                  <c:v>-460.99</c:v>
                </c:pt>
                <c:pt idx="27">
                  <c:v>-460.86</c:v>
                </c:pt>
                <c:pt idx="28">
                  <c:v>-461.54</c:v>
                </c:pt>
                <c:pt idx="29">
                  <c:v>-461.47</c:v>
                </c:pt>
                <c:pt idx="30">
                  <c:v>-460.91</c:v>
                </c:pt>
                <c:pt idx="31">
                  <c:v>-460.41</c:v>
                </c:pt>
                <c:pt idx="32">
                  <c:v>-461.08</c:v>
                </c:pt>
                <c:pt idx="33">
                  <c:v>-460.4</c:v>
                </c:pt>
                <c:pt idx="34">
                  <c:v>-460.6</c:v>
                </c:pt>
                <c:pt idx="35">
                  <c:v>-461.37</c:v>
                </c:pt>
                <c:pt idx="36">
                  <c:v>-460.78</c:v>
                </c:pt>
                <c:pt idx="37">
                  <c:v>-460.45</c:v>
                </c:pt>
                <c:pt idx="38">
                  <c:v>-460.18</c:v>
                </c:pt>
                <c:pt idx="39">
                  <c:v>-460.57</c:v>
                </c:pt>
                <c:pt idx="40">
                  <c:v>-460.49</c:v>
                </c:pt>
                <c:pt idx="41">
                  <c:v>-461.04</c:v>
                </c:pt>
                <c:pt idx="42">
                  <c:v>-460.83</c:v>
                </c:pt>
                <c:pt idx="43">
                  <c:v>-461.23</c:v>
                </c:pt>
                <c:pt idx="44">
                  <c:v>-460.79</c:v>
                </c:pt>
                <c:pt idx="45">
                  <c:v>-460.74</c:v>
                </c:pt>
                <c:pt idx="46">
                  <c:v>-460.48</c:v>
                </c:pt>
                <c:pt idx="47">
                  <c:v>-460.42</c:v>
                </c:pt>
                <c:pt idx="48">
                  <c:v>-460.98</c:v>
                </c:pt>
                <c:pt idx="49">
                  <c:v>-460.87</c:v>
                </c:pt>
                <c:pt idx="50">
                  <c:v>-460.29</c:v>
                </c:pt>
                <c:pt idx="51">
                  <c:v>-460.65</c:v>
                </c:pt>
                <c:pt idx="52">
                  <c:v>-461.27</c:v>
                </c:pt>
                <c:pt idx="53">
                  <c:v>-461.05</c:v>
                </c:pt>
                <c:pt idx="54">
                  <c:v>-460.5</c:v>
                </c:pt>
                <c:pt idx="55">
                  <c:v>-461.35</c:v>
                </c:pt>
                <c:pt idx="56">
                  <c:v>-460.79</c:v>
                </c:pt>
                <c:pt idx="57">
                  <c:v>-461.13</c:v>
                </c:pt>
                <c:pt idx="58">
                  <c:v>-461.22</c:v>
                </c:pt>
                <c:pt idx="59">
                  <c:v>-462.02</c:v>
                </c:pt>
                <c:pt idx="60">
                  <c:v>-460.89</c:v>
                </c:pt>
                <c:pt idx="61">
                  <c:v>-460.66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39136"/>
        <c:axId val="125341056"/>
      </c:lineChart>
      <c:catAx>
        <c:axId val="125339136"/>
        <c:scaling>
          <c:orientation val="minMax"/>
        </c:scaling>
        <c:delete val="1"/>
        <c:axPos val="b"/>
        <c:majorTickMark val="out"/>
        <c:minorTickMark val="none"/>
        <c:tickLblPos val="nextTo"/>
        <c:crossAx val="125341056"/>
        <c:crosses val="autoZero"/>
        <c:auto val="0"/>
        <c:lblAlgn val="ctr"/>
        <c:lblOffset val="100"/>
        <c:noMultiLvlLbl val="1"/>
      </c:catAx>
      <c:valAx>
        <c:axId val="125341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5339136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[0]!G13_XValues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[0]!G13_Nominal</c:f>
              <c:numCache>
                <c:formatCode>General</c:formatCode>
                <c:ptCount val="62"/>
                <c:pt idx="0">
                  <c:v>1071.4000000000001</c:v>
                </c:pt>
                <c:pt idx="1">
                  <c:v>1071.4000000000001</c:v>
                </c:pt>
                <c:pt idx="2">
                  <c:v>1071.4000000000001</c:v>
                </c:pt>
                <c:pt idx="3">
                  <c:v>1071.4000000000001</c:v>
                </c:pt>
                <c:pt idx="4">
                  <c:v>1071.4000000000001</c:v>
                </c:pt>
                <c:pt idx="5">
                  <c:v>1071.4000000000001</c:v>
                </c:pt>
                <c:pt idx="6">
                  <c:v>1071.4000000000001</c:v>
                </c:pt>
                <c:pt idx="7">
                  <c:v>1071.4000000000001</c:v>
                </c:pt>
                <c:pt idx="8">
                  <c:v>1071.4000000000001</c:v>
                </c:pt>
                <c:pt idx="9">
                  <c:v>1071.4000000000001</c:v>
                </c:pt>
                <c:pt idx="10">
                  <c:v>1071.4000000000001</c:v>
                </c:pt>
                <c:pt idx="11">
                  <c:v>1071.4000000000001</c:v>
                </c:pt>
                <c:pt idx="12">
                  <c:v>1071.4000000000001</c:v>
                </c:pt>
                <c:pt idx="13">
                  <c:v>1071.4000000000001</c:v>
                </c:pt>
                <c:pt idx="14">
                  <c:v>1071.4000000000001</c:v>
                </c:pt>
                <c:pt idx="15">
                  <c:v>1071.4000000000001</c:v>
                </c:pt>
                <c:pt idx="16">
                  <c:v>1071.4000000000001</c:v>
                </c:pt>
                <c:pt idx="17">
                  <c:v>1071.4000000000001</c:v>
                </c:pt>
                <c:pt idx="18">
                  <c:v>1071.4000000000001</c:v>
                </c:pt>
                <c:pt idx="19">
                  <c:v>1071.4000000000001</c:v>
                </c:pt>
                <c:pt idx="20">
                  <c:v>1071.4000000000001</c:v>
                </c:pt>
                <c:pt idx="21">
                  <c:v>1071.4000000000001</c:v>
                </c:pt>
                <c:pt idx="22">
                  <c:v>1071.4000000000001</c:v>
                </c:pt>
                <c:pt idx="23">
                  <c:v>1071.4000000000001</c:v>
                </c:pt>
                <c:pt idx="24">
                  <c:v>1071.4000000000001</c:v>
                </c:pt>
                <c:pt idx="25">
                  <c:v>1071.4000000000001</c:v>
                </c:pt>
                <c:pt idx="26">
                  <c:v>1071.4000000000001</c:v>
                </c:pt>
                <c:pt idx="27">
                  <c:v>1071.4000000000001</c:v>
                </c:pt>
                <c:pt idx="28">
                  <c:v>1071.4000000000001</c:v>
                </c:pt>
                <c:pt idx="29">
                  <c:v>1071.4000000000001</c:v>
                </c:pt>
                <c:pt idx="30">
                  <c:v>1071.4000000000001</c:v>
                </c:pt>
                <c:pt idx="31">
                  <c:v>1071.4000000000001</c:v>
                </c:pt>
                <c:pt idx="32">
                  <c:v>1071.4000000000001</c:v>
                </c:pt>
                <c:pt idx="33">
                  <c:v>1071.4000000000001</c:v>
                </c:pt>
                <c:pt idx="34">
                  <c:v>1071.4000000000001</c:v>
                </c:pt>
                <c:pt idx="35">
                  <c:v>1071.4000000000001</c:v>
                </c:pt>
                <c:pt idx="36">
                  <c:v>1071.4000000000001</c:v>
                </c:pt>
                <c:pt idx="37">
                  <c:v>1071.4000000000001</c:v>
                </c:pt>
                <c:pt idx="38">
                  <c:v>1071.4000000000001</c:v>
                </c:pt>
                <c:pt idx="39">
                  <c:v>1071.4000000000001</c:v>
                </c:pt>
                <c:pt idx="40">
                  <c:v>1071.4000000000001</c:v>
                </c:pt>
                <c:pt idx="41">
                  <c:v>1071.4000000000001</c:v>
                </c:pt>
                <c:pt idx="42">
                  <c:v>1071.4000000000001</c:v>
                </c:pt>
                <c:pt idx="43">
                  <c:v>1071.4000000000001</c:v>
                </c:pt>
                <c:pt idx="44">
                  <c:v>1071.4000000000001</c:v>
                </c:pt>
                <c:pt idx="45">
                  <c:v>1071.4000000000001</c:v>
                </c:pt>
                <c:pt idx="46">
                  <c:v>1071.4000000000001</c:v>
                </c:pt>
                <c:pt idx="47">
                  <c:v>1071.4000000000001</c:v>
                </c:pt>
                <c:pt idx="48">
                  <c:v>1071.4000000000001</c:v>
                </c:pt>
                <c:pt idx="49">
                  <c:v>1071.4000000000001</c:v>
                </c:pt>
                <c:pt idx="50">
                  <c:v>1071.4000000000001</c:v>
                </c:pt>
                <c:pt idx="51">
                  <c:v>1071.4000000000001</c:v>
                </c:pt>
                <c:pt idx="52">
                  <c:v>1071.4000000000001</c:v>
                </c:pt>
                <c:pt idx="53">
                  <c:v>1071.4000000000001</c:v>
                </c:pt>
                <c:pt idx="54">
                  <c:v>1071.4000000000001</c:v>
                </c:pt>
                <c:pt idx="55">
                  <c:v>1071.4000000000001</c:v>
                </c:pt>
                <c:pt idx="56">
                  <c:v>1071.4000000000001</c:v>
                </c:pt>
                <c:pt idx="57">
                  <c:v>1071.4000000000001</c:v>
                </c:pt>
                <c:pt idx="58">
                  <c:v>1071.4000000000001</c:v>
                </c:pt>
                <c:pt idx="59">
                  <c:v>1071.4000000000001</c:v>
                </c:pt>
                <c:pt idx="60">
                  <c:v>1071.4000000000001</c:v>
                </c:pt>
                <c:pt idx="61">
                  <c:v>1071.4000000000001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[0]!G13_XValues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[0]!G13_Lie</c:f>
              <c:numCache>
                <c:formatCode>General</c:formatCode>
                <c:ptCount val="62"/>
                <c:pt idx="0">
                  <c:v>1067.4000000000001</c:v>
                </c:pt>
                <c:pt idx="1">
                  <c:v>1067.4000000000001</c:v>
                </c:pt>
                <c:pt idx="2">
                  <c:v>1067.4000000000001</c:v>
                </c:pt>
                <c:pt idx="3">
                  <c:v>1067.4000000000001</c:v>
                </c:pt>
                <c:pt idx="4">
                  <c:v>1067.4000000000001</c:v>
                </c:pt>
                <c:pt idx="5">
                  <c:v>1067.4000000000001</c:v>
                </c:pt>
                <c:pt idx="6">
                  <c:v>1067.4000000000001</c:v>
                </c:pt>
                <c:pt idx="7">
                  <c:v>1067.4000000000001</c:v>
                </c:pt>
                <c:pt idx="8">
                  <c:v>1067.4000000000001</c:v>
                </c:pt>
                <c:pt idx="9">
                  <c:v>1067.4000000000001</c:v>
                </c:pt>
                <c:pt idx="10">
                  <c:v>1067.4000000000001</c:v>
                </c:pt>
                <c:pt idx="11">
                  <c:v>1067.4000000000001</c:v>
                </c:pt>
                <c:pt idx="12">
                  <c:v>1067.4000000000001</c:v>
                </c:pt>
                <c:pt idx="13">
                  <c:v>1067.4000000000001</c:v>
                </c:pt>
                <c:pt idx="14">
                  <c:v>1067.4000000000001</c:v>
                </c:pt>
                <c:pt idx="15">
                  <c:v>1067.4000000000001</c:v>
                </c:pt>
                <c:pt idx="16">
                  <c:v>1067.4000000000001</c:v>
                </c:pt>
                <c:pt idx="17">
                  <c:v>1067.4000000000001</c:v>
                </c:pt>
                <c:pt idx="18">
                  <c:v>1067.4000000000001</c:v>
                </c:pt>
                <c:pt idx="19">
                  <c:v>1067.4000000000001</c:v>
                </c:pt>
                <c:pt idx="20">
                  <c:v>1067.4000000000001</c:v>
                </c:pt>
                <c:pt idx="21">
                  <c:v>1067.4000000000001</c:v>
                </c:pt>
                <c:pt idx="22">
                  <c:v>1067.4000000000001</c:v>
                </c:pt>
                <c:pt idx="23">
                  <c:v>1067.4000000000001</c:v>
                </c:pt>
                <c:pt idx="24">
                  <c:v>1067.4000000000001</c:v>
                </c:pt>
                <c:pt idx="25">
                  <c:v>1067.4000000000001</c:v>
                </c:pt>
                <c:pt idx="26">
                  <c:v>1067.4000000000001</c:v>
                </c:pt>
                <c:pt idx="27">
                  <c:v>1067.4000000000001</c:v>
                </c:pt>
                <c:pt idx="28">
                  <c:v>1067.4000000000001</c:v>
                </c:pt>
                <c:pt idx="29">
                  <c:v>1067.4000000000001</c:v>
                </c:pt>
                <c:pt idx="30">
                  <c:v>1067.4000000000001</c:v>
                </c:pt>
                <c:pt idx="31">
                  <c:v>1067.4000000000001</c:v>
                </c:pt>
                <c:pt idx="32">
                  <c:v>1067.4000000000001</c:v>
                </c:pt>
                <c:pt idx="33">
                  <c:v>1067.4000000000001</c:v>
                </c:pt>
                <c:pt idx="34">
                  <c:v>1067.4000000000001</c:v>
                </c:pt>
                <c:pt idx="35">
                  <c:v>1067.4000000000001</c:v>
                </c:pt>
                <c:pt idx="36">
                  <c:v>1067.4000000000001</c:v>
                </c:pt>
                <c:pt idx="37">
                  <c:v>1067.4000000000001</c:v>
                </c:pt>
                <c:pt idx="38">
                  <c:v>1067.4000000000001</c:v>
                </c:pt>
                <c:pt idx="39">
                  <c:v>1067.4000000000001</c:v>
                </c:pt>
                <c:pt idx="40">
                  <c:v>1067.4000000000001</c:v>
                </c:pt>
                <c:pt idx="41">
                  <c:v>1067.4000000000001</c:v>
                </c:pt>
                <c:pt idx="42">
                  <c:v>1067.4000000000001</c:v>
                </c:pt>
                <c:pt idx="43">
                  <c:v>1067.4000000000001</c:v>
                </c:pt>
                <c:pt idx="44">
                  <c:v>1067.4000000000001</c:v>
                </c:pt>
                <c:pt idx="45">
                  <c:v>1067.4000000000001</c:v>
                </c:pt>
                <c:pt idx="46">
                  <c:v>1067.4000000000001</c:v>
                </c:pt>
                <c:pt idx="47">
                  <c:v>1067.4000000000001</c:v>
                </c:pt>
                <c:pt idx="48">
                  <c:v>1067.4000000000001</c:v>
                </c:pt>
                <c:pt idx="49">
                  <c:v>1067.4000000000001</c:v>
                </c:pt>
                <c:pt idx="50">
                  <c:v>1067.4000000000001</c:v>
                </c:pt>
                <c:pt idx="51">
                  <c:v>1067.4000000000001</c:v>
                </c:pt>
                <c:pt idx="52">
                  <c:v>1067.4000000000001</c:v>
                </c:pt>
                <c:pt idx="53">
                  <c:v>1067.4000000000001</c:v>
                </c:pt>
                <c:pt idx="54">
                  <c:v>1067.4000000000001</c:v>
                </c:pt>
                <c:pt idx="55">
                  <c:v>1067.4000000000001</c:v>
                </c:pt>
                <c:pt idx="56">
                  <c:v>1067.4000000000001</c:v>
                </c:pt>
                <c:pt idx="57">
                  <c:v>1067.4000000000001</c:v>
                </c:pt>
                <c:pt idx="58">
                  <c:v>1067.4000000000001</c:v>
                </c:pt>
                <c:pt idx="59">
                  <c:v>1067.4000000000001</c:v>
                </c:pt>
                <c:pt idx="60">
                  <c:v>1067.4000000000001</c:v>
                </c:pt>
                <c:pt idx="61">
                  <c:v>1067.4000000000001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[0]!G13_XValues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[0]!G13_Lse</c:f>
              <c:numCache>
                <c:formatCode>General</c:formatCode>
                <c:ptCount val="62"/>
                <c:pt idx="0">
                  <c:v>1075.4000000000001</c:v>
                </c:pt>
                <c:pt idx="1">
                  <c:v>1075.4000000000001</c:v>
                </c:pt>
                <c:pt idx="2">
                  <c:v>1075.4000000000001</c:v>
                </c:pt>
                <c:pt idx="3">
                  <c:v>1075.4000000000001</c:v>
                </c:pt>
                <c:pt idx="4">
                  <c:v>1075.4000000000001</c:v>
                </c:pt>
                <c:pt idx="5">
                  <c:v>1075.4000000000001</c:v>
                </c:pt>
                <c:pt idx="6">
                  <c:v>1075.4000000000001</c:v>
                </c:pt>
                <c:pt idx="7">
                  <c:v>1075.4000000000001</c:v>
                </c:pt>
                <c:pt idx="8">
                  <c:v>1075.4000000000001</c:v>
                </c:pt>
                <c:pt idx="9">
                  <c:v>1075.4000000000001</c:v>
                </c:pt>
                <c:pt idx="10">
                  <c:v>1075.4000000000001</c:v>
                </c:pt>
                <c:pt idx="11">
                  <c:v>1075.4000000000001</c:v>
                </c:pt>
                <c:pt idx="12">
                  <c:v>1075.4000000000001</c:v>
                </c:pt>
                <c:pt idx="13">
                  <c:v>1075.4000000000001</c:v>
                </c:pt>
                <c:pt idx="14">
                  <c:v>1075.4000000000001</c:v>
                </c:pt>
                <c:pt idx="15">
                  <c:v>1075.4000000000001</c:v>
                </c:pt>
                <c:pt idx="16">
                  <c:v>1075.4000000000001</c:v>
                </c:pt>
                <c:pt idx="17">
                  <c:v>1075.4000000000001</c:v>
                </c:pt>
                <c:pt idx="18">
                  <c:v>1075.4000000000001</c:v>
                </c:pt>
                <c:pt idx="19">
                  <c:v>1075.4000000000001</c:v>
                </c:pt>
                <c:pt idx="20">
                  <c:v>1075.4000000000001</c:v>
                </c:pt>
                <c:pt idx="21">
                  <c:v>1075.4000000000001</c:v>
                </c:pt>
                <c:pt idx="22">
                  <c:v>1075.4000000000001</c:v>
                </c:pt>
                <c:pt idx="23">
                  <c:v>1075.4000000000001</c:v>
                </c:pt>
                <c:pt idx="24">
                  <c:v>1075.4000000000001</c:v>
                </c:pt>
                <c:pt idx="25">
                  <c:v>1075.4000000000001</c:v>
                </c:pt>
                <c:pt idx="26">
                  <c:v>1075.4000000000001</c:v>
                </c:pt>
                <c:pt idx="27">
                  <c:v>1075.4000000000001</c:v>
                </c:pt>
                <c:pt idx="28">
                  <c:v>1075.4000000000001</c:v>
                </c:pt>
                <c:pt idx="29">
                  <c:v>1075.4000000000001</c:v>
                </c:pt>
                <c:pt idx="30">
                  <c:v>1075.4000000000001</c:v>
                </c:pt>
                <c:pt idx="31">
                  <c:v>1075.4000000000001</c:v>
                </c:pt>
                <c:pt idx="32">
                  <c:v>1075.4000000000001</c:v>
                </c:pt>
                <c:pt idx="33">
                  <c:v>1075.4000000000001</c:v>
                </c:pt>
                <c:pt idx="34">
                  <c:v>1075.4000000000001</c:v>
                </c:pt>
                <c:pt idx="35">
                  <c:v>1075.4000000000001</c:v>
                </c:pt>
                <c:pt idx="36">
                  <c:v>1075.4000000000001</c:v>
                </c:pt>
                <c:pt idx="37">
                  <c:v>1075.4000000000001</c:v>
                </c:pt>
                <c:pt idx="38">
                  <c:v>1075.4000000000001</c:v>
                </c:pt>
                <c:pt idx="39">
                  <c:v>1075.4000000000001</c:v>
                </c:pt>
                <c:pt idx="40">
                  <c:v>1075.4000000000001</c:v>
                </c:pt>
                <c:pt idx="41">
                  <c:v>1075.4000000000001</c:v>
                </c:pt>
                <c:pt idx="42">
                  <c:v>1075.4000000000001</c:v>
                </c:pt>
                <c:pt idx="43">
                  <c:v>1075.4000000000001</c:v>
                </c:pt>
                <c:pt idx="44">
                  <c:v>1075.4000000000001</c:v>
                </c:pt>
                <c:pt idx="45">
                  <c:v>1075.4000000000001</c:v>
                </c:pt>
                <c:pt idx="46">
                  <c:v>1075.4000000000001</c:v>
                </c:pt>
                <c:pt idx="47">
                  <c:v>1075.4000000000001</c:v>
                </c:pt>
                <c:pt idx="48">
                  <c:v>1075.4000000000001</c:v>
                </c:pt>
                <c:pt idx="49">
                  <c:v>1075.4000000000001</c:v>
                </c:pt>
                <c:pt idx="50">
                  <c:v>1075.4000000000001</c:v>
                </c:pt>
                <c:pt idx="51">
                  <c:v>1075.4000000000001</c:v>
                </c:pt>
                <c:pt idx="52">
                  <c:v>1075.4000000000001</c:v>
                </c:pt>
                <c:pt idx="53">
                  <c:v>1075.4000000000001</c:v>
                </c:pt>
                <c:pt idx="54">
                  <c:v>1075.4000000000001</c:v>
                </c:pt>
                <c:pt idx="55">
                  <c:v>1075.4000000000001</c:v>
                </c:pt>
                <c:pt idx="56">
                  <c:v>1075.4000000000001</c:v>
                </c:pt>
                <c:pt idx="57">
                  <c:v>1075.4000000000001</c:v>
                </c:pt>
                <c:pt idx="58">
                  <c:v>1075.4000000000001</c:v>
                </c:pt>
                <c:pt idx="59">
                  <c:v>1075.4000000000001</c:v>
                </c:pt>
                <c:pt idx="60">
                  <c:v>1075.4000000000001</c:v>
                </c:pt>
                <c:pt idx="61">
                  <c:v>1075.4000000000001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[0]!G13_XValues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[0]!G13_Data</c:f>
              <c:numCache>
                <c:formatCode>General</c:formatCode>
                <c:ptCount val="62"/>
                <c:pt idx="0">
                  <c:v>1069.3499999999999</c:v>
                </c:pt>
                <c:pt idx="1">
                  <c:v>1068.97</c:v>
                </c:pt>
                <c:pt idx="2">
                  <c:v>1069.06</c:v>
                </c:pt>
                <c:pt idx="3">
                  <c:v>1069.3</c:v>
                </c:pt>
                <c:pt idx="4">
                  <c:v>1068.8</c:v>
                </c:pt>
                <c:pt idx="5">
                  <c:v>1069</c:v>
                </c:pt>
                <c:pt idx="6">
                  <c:v>1068.9000000000001</c:v>
                </c:pt>
                <c:pt idx="7">
                  <c:v>1069.4000000000001</c:v>
                </c:pt>
                <c:pt idx="8">
                  <c:v>1068.9000000000001</c:v>
                </c:pt>
                <c:pt idx="9">
                  <c:v>1069.1199999999999</c:v>
                </c:pt>
                <c:pt idx="10">
                  <c:v>1068.95</c:v>
                </c:pt>
                <c:pt idx="11">
                  <c:v>1069.06</c:v>
                </c:pt>
                <c:pt idx="12">
                  <c:v>1069.3499999999999</c:v>
                </c:pt>
                <c:pt idx="13">
                  <c:v>1069.3800000000001</c:v>
                </c:pt>
                <c:pt idx="14">
                  <c:v>1069.21</c:v>
                </c:pt>
                <c:pt idx="15">
                  <c:v>1069.2</c:v>
                </c:pt>
                <c:pt idx="16">
                  <c:v>1069.29</c:v>
                </c:pt>
                <c:pt idx="17">
                  <c:v>1069.52</c:v>
                </c:pt>
                <c:pt idx="18">
                  <c:v>1068.9000000000001</c:v>
                </c:pt>
                <c:pt idx="19">
                  <c:v>1069.2</c:v>
                </c:pt>
                <c:pt idx="20">
                  <c:v>1069.2</c:v>
                </c:pt>
                <c:pt idx="21">
                  <c:v>1069.19</c:v>
                </c:pt>
                <c:pt idx="22">
                  <c:v>1069</c:v>
                </c:pt>
                <c:pt idx="23">
                  <c:v>1069.4000000000001</c:v>
                </c:pt>
                <c:pt idx="24">
                  <c:v>1069.0999999999999</c:v>
                </c:pt>
                <c:pt idx="25">
                  <c:v>1069</c:v>
                </c:pt>
                <c:pt idx="26">
                  <c:v>1069.2</c:v>
                </c:pt>
                <c:pt idx="27">
                  <c:v>1068.99</c:v>
                </c:pt>
                <c:pt idx="28">
                  <c:v>1069.02</c:v>
                </c:pt>
                <c:pt idx="29">
                  <c:v>1069.02</c:v>
                </c:pt>
                <c:pt idx="30">
                  <c:v>1068.99</c:v>
                </c:pt>
                <c:pt idx="31">
                  <c:v>1069.6500000000001</c:v>
                </c:pt>
                <c:pt idx="32">
                  <c:v>1068.6500000000001</c:v>
                </c:pt>
                <c:pt idx="33">
                  <c:v>1069.3499999999999</c:v>
                </c:pt>
                <c:pt idx="34">
                  <c:v>1069.4000000000001</c:v>
                </c:pt>
                <c:pt idx="35">
                  <c:v>1069</c:v>
                </c:pt>
                <c:pt idx="36">
                  <c:v>1069.28</c:v>
                </c:pt>
                <c:pt idx="37">
                  <c:v>1068.71</c:v>
                </c:pt>
                <c:pt idx="38">
                  <c:v>1068.79</c:v>
                </c:pt>
                <c:pt idx="39">
                  <c:v>1069.1400000000001</c:v>
                </c:pt>
                <c:pt idx="40">
                  <c:v>1069.05</c:v>
                </c:pt>
                <c:pt idx="41">
                  <c:v>1069.01</c:v>
                </c:pt>
                <c:pt idx="42">
                  <c:v>1068.95</c:v>
                </c:pt>
                <c:pt idx="43">
                  <c:v>1069.0999999999999</c:v>
                </c:pt>
                <c:pt idx="44">
                  <c:v>1068.93</c:v>
                </c:pt>
                <c:pt idx="45">
                  <c:v>1069.31</c:v>
                </c:pt>
                <c:pt idx="46">
                  <c:v>1069.01</c:v>
                </c:pt>
                <c:pt idx="47">
                  <c:v>1069.04</c:v>
                </c:pt>
                <c:pt idx="48">
                  <c:v>1069.06</c:v>
                </c:pt>
                <c:pt idx="49">
                  <c:v>1068.98</c:v>
                </c:pt>
                <c:pt idx="50">
                  <c:v>1069.26</c:v>
                </c:pt>
                <c:pt idx="51">
                  <c:v>1069.21</c:v>
                </c:pt>
                <c:pt idx="52">
                  <c:v>1068.44</c:v>
                </c:pt>
                <c:pt idx="53">
                  <c:v>1068.9100000000001</c:v>
                </c:pt>
                <c:pt idx="54">
                  <c:v>1069.0999999999999</c:v>
                </c:pt>
                <c:pt idx="55">
                  <c:v>1068.9000000000001</c:v>
                </c:pt>
                <c:pt idx="56">
                  <c:v>1069.19</c:v>
                </c:pt>
                <c:pt idx="57">
                  <c:v>1068.96</c:v>
                </c:pt>
                <c:pt idx="58">
                  <c:v>1069</c:v>
                </c:pt>
                <c:pt idx="59">
                  <c:v>1068.72</c:v>
                </c:pt>
                <c:pt idx="60">
                  <c:v>1068.6099999999999</c:v>
                </c:pt>
                <c:pt idx="61">
                  <c:v>1069.0899999999999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750080"/>
        <c:axId val="126752256"/>
      </c:lineChart>
      <c:catAx>
        <c:axId val="126750080"/>
        <c:scaling>
          <c:orientation val="minMax"/>
        </c:scaling>
        <c:delete val="1"/>
        <c:axPos val="b"/>
        <c:majorTickMark val="out"/>
        <c:minorTickMark val="none"/>
        <c:tickLblPos val="nextTo"/>
        <c:crossAx val="126752256"/>
        <c:crosses val="autoZero"/>
        <c:auto val="0"/>
        <c:lblAlgn val="ctr"/>
        <c:lblOffset val="100"/>
        <c:noMultiLvlLbl val="1"/>
      </c:catAx>
      <c:valAx>
        <c:axId val="126752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6750080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[0]!G14_XValues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[0]!G14_Nominal</c:f>
              <c:numCache>
                <c:formatCode>General</c:formatCode>
                <c:ptCount val="62"/>
                <c:pt idx="0">
                  <c:v>420</c:v>
                </c:pt>
                <c:pt idx="1">
                  <c:v>420</c:v>
                </c:pt>
                <c:pt idx="2">
                  <c:v>420</c:v>
                </c:pt>
                <c:pt idx="3">
                  <c:v>420</c:v>
                </c:pt>
                <c:pt idx="4">
                  <c:v>420</c:v>
                </c:pt>
                <c:pt idx="5">
                  <c:v>420</c:v>
                </c:pt>
                <c:pt idx="6">
                  <c:v>420</c:v>
                </c:pt>
                <c:pt idx="7">
                  <c:v>420</c:v>
                </c:pt>
                <c:pt idx="8">
                  <c:v>420</c:v>
                </c:pt>
                <c:pt idx="9">
                  <c:v>420</c:v>
                </c:pt>
                <c:pt idx="10">
                  <c:v>420</c:v>
                </c:pt>
                <c:pt idx="11">
                  <c:v>420</c:v>
                </c:pt>
                <c:pt idx="12">
                  <c:v>420</c:v>
                </c:pt>
                <c:pt idx="13">
                  <c:v>420</c:v>
                </c:pt>
                <c:pt idx="14">
                  <c:v>420</c:v>
                </c:pt>
                <c:pt idx="15">
                  <c:v>420</c:v>
                </c:pt>
                <c:pt idx="16">
                  <c:v>420</c:v>
                </c:pt>
                <c:pt idx="17">
                  <c:v>420</c:v>
                </c:pt>
                <c:pt idx="18">
                  <c:v>420</c:v>
                </c:pt>
                <c:pt idx="19">
                  <c:v>420</c:v>
                </c:pt>
                <c:pt idx="20">
                  <c:v>420</c:v>
                </c:pt>
                <c:pt idx="21">
                  <c:v>420</c:v>
                </c:pt>
                <c:pt idx="22">
                  <c:v>420</c:v>
                </c:pt>
                <c:pt idx="23">
                  <c:v>420</c:v>
                </c:pt>
                <c:pt idx="24">
                  <c:v>420</c:v>
                </c:pt>
                <c:pt idx="25">
                  <c:v>420</c:v>
                </c:pt>
                <c:pt idx="26">
                  <c:v>420</c:v>
                </c:pt>
                <c:pt idx="27">
                  <c:v>420</c:v>
                </c:pt>
                <c:pt idx="28">
                  <c:v>420</c:v>
                </c:pt>
                <c:pt idx="29">
                  <c:v>420</c:v>
                </c:pt>
                <c:pt idx="30">
                  <c:v>420</c:v>
                </c:pt>
                <c:pt idx="31">
                  <c:v>420</c:v>
                </c:pt>
                <c:pt idx="32">
                  <c:v>420</c:v>
                </c:pt>
                <c:pt idx="33">
                  <c:v>420</c:v>
                </c:pt>
                <c:pt idx="34">
                  <c:v>420</c:v>
                </c:pt>
                <c:pt idx="35">
                  <c:v>420</c:v>
                </c:pt>
                <c:pt idx="36">
                  <c:v>420</c:v>
                </c:pt>
                <c:pt idx="37">
                  <c:v>420</c:v>
                </c:pt>
                <c:pt idx="38">
                  <c:v>420</c:v>
                </c:pt>
                <c:pt idx="39">
                  <c:v>420</c:v>
                </c:pt>
                <c:pt idx="40">
                  <c:v>420</c:v>
                </c:pt>
                <c:pt idx="41">
                  <c:v>420</c:v>
                </c:pt>
                <c:pt idx="42">
                  <c:v>420</c:v>
                </c:pt>
                <c:pt idx="43">
                  <c:v>420</c:v>
                </c:pt>
                <c:pt idx="44">
                  <c:v>420</c:v>
                </c:pt>
                <c:pt idx="45">
                  <c:v>420</c:v>
                </c:pt>
                <c:pt idx="46">
                  <c:v>420</c:v>
                </c:pt>
                <c:pt idx="47">
                  <c:v>420</c:v>
                </c:pt>
                <c:pt idx="48">
                  <c:v>420</c:v>
                </c:pt>
                <c:pt idx="49">
                  <c:v>420</c:v>
                </c:pt>
                <c:pt idx="50">
                  <c:v>420</c:v>
                </c:pt>
                <c:pt idx="51">
                  <c:v>420</c:v>
                </c:pt>
                <c:pt idx="52">
                  <c:v>420</c:v>
                </c:pt>
                <c:pt idx="53">
                  <c:v>420</c:v>
                </c:pt>
                <c:pt idx="54">
                  <c:v>420</c:v>
                </c:pt>
                <c:pt idx="55">
                  <c:v>420</c:v>
                </c:pt>
                <c:pt idx="56">
                  <c:v>420</c:v>
                </c:pt>
                <c:pt idx="57">
                  <c:v>420</c:v>
                </c:pt>
                <c:pt idx="58">
                  <c:v>420</c:v>
                </c:pt>
                <c:pt idx="59">
                  <c:v>420</c:v>
                </c:pt>
                <c:pt idx="60">
                  <c:v>420</c:v>
                </c:pt>
                <c:pt idx="61">
                  <c:v>420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[0]!G14_XValues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[0]!G14_Lie</c:f>
              <c:numCache>
                <c:formatCode>General</c:formatCode>
                <c:ptCount val="62"/>
                <c:pt idx="0">
                  <c:v>416</c:v>
                </c:pt>
                <c:pt idx="1">
                  <c:v>416</c:v>
                </c:pt>
                <c:pt idx="2">
                  <c:v>416</c:v>
                </c:pt>
                <c:pt idx="3">
                  <c:v>416</c:v>
                </c:pt>
                <c:pt idx="4">
                  <c:v>416</c:v>
                </c:pt>
                <c:pt idx="5">
                  <c:v>416</c:v>
                </c:pt>
                <c:pt idx="6">
                  <c:v>416</c:v>
                </c:pt>
                <c:pt idx="7">
                  <c:v>416</c:v>
                </c:pt>
                <c:pt idx="8">
                  <c:v>416</c:v>
                </c:pt>
                <c:pt idx="9">
                  <c:v>416</c:v>
                </c:pt>
                <c:pt idx="10">
                  <c:v>416</c:v>
                </c:pt>
                <c:pt idx="11">
                  <c:v>416</c:v>
                </c:pt>
                <c:pt idx="12">
                  <c:v>416</c:v>
                </c:pt>
                <c:pt idx="13">
                  <c:v>416</c:v>
                </c:pt>
                <c:pt idx="14">
                  <c:v>416</c:v>
                </c:pt>
                <c:pt idx="15">
                  <c:v>416</c:v>
                </c:pt>
                <c:pt idx="16">
                  <c:v>416</c:v>
                </c:pt>
                <c:pt idx="17">
                  <c:v>416</c:v>
                </c:pt>
                <c:pt idx="18">
                  <c:v>416</c:v>
                </c:pt>
                <c:pt idx="19">
                  <c:v>416</c:v>
                </c:pt>
                <c:pt idx="20">
                  <c:v>416</c:v>
                </c:pt>
                <c:pt idx="21">
                  <c:v>416</c:v>
                </c:pt>
                <c:pt idx="22">
                  <c:v>416</c:v>
                </c:pt>
                <c:pt idx="23">
                  <c:v>416</c:v>
                </c:pt>
                <c:pt idx="24">
                  <c:v>416</c:v>
                </c:pt>
                <c:pt idx="25">
                  <c:v>416</c:v>
                </c:pt>
                <c:pt idx="26">
                  <c:v>416</c:v>
                </c:pt>
                <c:pt idx="27">
                  <c:v>416</c:v>
                </c:pt>
                <c:pt idx="28">
                  <c:v>416</c:v>
                </c:pt>
                <c:pt idx="29">
                  <c:v>416</c:v>
                </c:pt>
                <c:pt idx="30">
                  <c:v>416</c:v>
                </c:pt>
                <c:pt idx="31">
                  <c:v>416</c:v>
                </c:pt>
                <c:pt idx="32">
                  <c:v>416</c:v>
                </c:pt>
                <c:pt idx="33">
                  <c:v>416</c:v>
                </c:pt>
                <c:pt idx="34">
                  <c:v>416</c:v>
                </c:pt>
                <c:pt idx="35">
                  <c:v>416</c:v>
                </c:pt>
                <c:pt idx="36">
                  <c:v>416</c:v>
                </c:pt>
                <c:pt idx="37">
                  <c:v>416</c:v>
                </c:pt>
                <c:pt idx="38">
                  <c:v>416</c:v>
                </c:pt>
                <c:pt idx="39">
                  <c:v>416</c:v>
                </c:pt>
                <c:pt idx="40">
                  <c:v>416</c:v>
                </c:pt>
                <c:pt idx="41">
                  <c:v>416</c:v>
                </c:pt>
                <c:pt idx="42">
                  <c:v>416</c:v>
                </c:pt>
                <c:pt idx="43">
                  <c:v>416</c:v>
                </c:pt>
                <c:pt idx="44">
                  <c:v>416</c:v>
                </c:pt>
                <c:pt idx="45">
                  <c:v>416</c:v>
                </c:pt>
                <c:pt idx="46">
                  <c:v>416</c:v>
                </c:pt>
                <c:pt idx="47">
                  <c:v>416</c:v>
                </c:pt>
                <c:pt idx="48">
                  <c:v>416</c:v>
                </c:pt>
                <c:pt idx="49">
                  <c:v>416</c:v>
                </c:pt>
                <c:pt idx="50">
                  <c:v>416</c:v>
                </c:pt>
                <c:pt idx="51">
                  <c:v>416</c:v>
                </c:pt>
                <c:pt idx="52">
                  <c:v>416</c:v>
                </c:pt>
                <c:pt idx="53">
                  <c:v>416</c:v>
                </c:pt>
                <c:pt idx="54">
                  <c:v>416</c:v>
                </c:pt>
                <c:pt idx="55">
                  <c:v>416</c:v>
                </c:pt>
                <c:pt idx="56">
                  <c:v>416</c:v>
                </c:pt>
                <c:pt idx="57">
                  <c:v>416</c:v>
                </c:pt>
                <c:pt idx="58">
                  <c:v>416</c:v>
                </c:pt>
                <c:pt idx="59">
                  <c:v>416</c:v>
                </c:pt>
                <c:pt idx="60">
                  <c:v>416</c:v>
                </c:pt>
                <c:pt idx="61">
                  <c:v>416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[0]!G14_XValues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[0]!G14_Lse</c:f>
              <c:numCache>
                <c:formatCode>General</c:formatCode>
                <c:ptCount val="62"/>
                <c:pt idx="0">
                  <c:v>424</c:v>
                </c:pt>
                <c:pt idx="1">
                  <c:v>424</c:v>
                </c:pt>
                <c:pt idx="2">
                  <c:v>424</c:v>
                </c:pt>
                <c:pt idx="3">
                  <c:v>424</c:v>
                </c:pt>
                <c:pt idx="4">
                  <c:v>424</c:v>
                </c:pt>
                <c:pt idx="5">
                  <c:v>424</c:v>
                </c:pt>
                <c:pt idx="6">
                  <c:v>424</c:v>
                </c:pt>
                <c:pt idx="7">
                  <c:v>424</c:v>
                </c:pt>
                <c:pt idx="8">
                  <c:v>424</c:v>
                </c:pt>
                <c:pt idx="9">
                  <c:v>424</c:v>
                </c:pt>
                <c:pt idx="10">
                  <c:v>424</c:v>
                </c:pt>
                <c:pt idx="11">
                  <c:v>424</c:v>
                </c:pt>
                <c:pt idx="12">
                  <c:v>424</c:v>
                </c:pt>
                <c:pt idx="13">
                  <c:v>424</c:v>
                </c:pt>
                <c:pt idx="14">
                  <c:v>424</c:v>
                </c:pt>
                <c:pt idx="15">
                  <c:v>424</c:v>
                </c:pt>
                <c:pt idx="16">
                  <c:v>424</c:v>
                </c:pt>
                <c:pt idx="17">
                  <c:v>424</c:v>
                </c:pt>
                <c:pt idx="18">
                  <c:v>424</c:v>
                </c:pt>
                <c:pt idx="19">
                  <c:v>424</c:v>
                </c:pt>
                <c:pt idx="20">
                  <c:v>424</c:v>
                </c:pt>
                <c:pt idx="21">
                  <c:v>424</c:v>
                </c:pt>
                <c:pt idx="22">
                  <c:v>424</c:v>
                </c:pt>
                <c:pt idx="23">
                  <c:v>424</c:v>
                </c:pt>
                <c:pt idx="24">
                  <c:v>424</c:v>
                </c:pt>
                <c:pt idx="25">
                  <c:v>424</c:v>
                </c:pt>
                <c:pt idx="26">
                  <c:v>424</c:v>
                </c:pt>
                <c:pt idx="27">
                  <c:v>424</c:v>
                </c:pt>
                <c:pt idx="28">
                  <c:v>424</c:v>
                </c:pt>
                <c:pt idx="29">
                  <c:v>424</c:v>
                </c:pt>
                <c:pt idx="30">
                  <c:v>424</c:v>
                </c:pt>
                <c:pt idx="31">
                  <c:v>424</c:v>
                </c:pt>
                <c:pt idx="32">
                  <c:v>424</c:v>
                </c:pt>
                <c:pt idx="33">
                  <c:v>424</c:v>
                </c:pt>
                <c:pt idx="34">
                  <c:v>424</c:v>
                </c:pt>
                <c:pt idx="35">
                  <c:v>424</c:v>
                </c:pt>
                <c:pt idx="36">
                  <c:v>424</c:v>
                </c:pt>
                <c:pt idx="37">
                  <c:v>424</c:v>
                </c:pt>
                <c:pt idx="38">
                  <c:v>424</c:v>
                </c:pt>
                <c:pt idx="39">
                  <c:v>424</c:v>
                </c:pt>
                <c:pt idx="40">
                  <c:v>424</c:v>
                </c:pt>
                <c:pt idx="41">
                  <c:v>424</c:v>
                </c:pt>
                <c:pt idx="42">
                  <c:v>424</c:v>
                </c:pt>
                <c:pt idx="43">
                  <c:v>424</c:v>
                </c:pt>
                <c:pt idx="44">
                  <c:v>424</c:v>
                </c:pt>
                <c:pt idx="45">
                  <c:v>424</c:v>
                </c:pt>
                <c:pt idx="46">
                  <c:v>424</c:v>
                </c:pt>
                <c:pt idx="47">
                  <c:v>424</c:v>
                </c:pt>
                <c:pt idx="48">
                  <c:v>424</c:v>
                </c:pt>
                <c:pt idx="49">
                  <c:v>424</c:v>
                </c:pt>
                <c:pt idx="50">
                  <c:v>424</c:v>
                </c:pt>
                <c:pt idx="51">
                  <c:v>424</c:v>
                </c:pt>
                <c:pt idx="52">
                  <c:v>424</c:v>
                </c:pt>
                <c:pt idx="53">
                  <c:v>424</c:v>
                </c:pt>
                <c:pt idx="54">
                  <c:v>424</c:v>
                </c:pt>
                <c:pt idx="55">
                  <c:v>424</c:v>
                </c:pt>
                <c:pt idx="56">
                  <c:v>424</c:v>
                </c:pt>
                <c:pt idx="57">
                  <c:v>424</c:v>
                </c:pt>
                <c:pt idx="58">
                  <c:v>424</c:v>
                </c:pt>
                <c:pt idx="59">
                  <c:v>424</c:v>
                </c:pt>
                <c:pt idx="60">
                  <c:v>424</c:v>
                </c:pt>
                <c:pt idx="61">
                  <c:v>424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[0]!G14_XValues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[0]!G14_Data</c:f>
              <c:numCache>
                <c:formatCode>General</c:formatCode>
                <c:ptCount val="62"/>
                <c:pt idx="0">
                  <c:v>419.9</c:v>
                </c:pt>
                <c:pt idx="1">
                  <c:v>421.94</c:v>
                </c:pt>
                <c:pt idx="2">
                  <c:v>420.6</c:v>
                </c:pt>
                <c:pt idx="3">
                  <c:v>421.9</c:v>
                </c:pt>
                <c:pt idx="4">
                  <c:v>419.8</c:v>
                </c:pt>
                <c:pt idx="5">
                  <c:v>421.4</c:v>
                </c:pt>
                <c:pt idx="6">
                  <c:v>419.3</c:v>
                </c:pt>
                <c:pt idx="7">
                  <c:v>422.1</c:v>
                </c:pt>
                <c:pt idx="8">
                  <c:v>422.2</c:v>
                </c:pt>
                <c:pt idx="9">
                  <c:v>421.66</c:v>
                </c:pt>
                <c:pt idx="10">
                  <c:v>420.29</c:v>
                </c:pt>
                <c:pt idx="11">
                  <c:v>421.82</c:v>
                </c:pt>
                <c:pt idx="12">
                  <c:v>422.23</c:v>
                </c:pt>
                <c:pt idx="13">
                  <c:v>421.5</c:v>
                </c:pt>
                <c:pt idx="14">
                  <c:v>421.09</c:v>
                </c:pt>
                <c:pt idx="15">
                  <c:v>420.49</c:v>
                </c:pt>
                <c:pt idx="16">
                  <c:v>420.79</c:v>
                </c:pt>
                <c:pt idx="17">
                  <c:v>420.69</c:v>
                </c:pt>
                <c:pt idx="18">
                  <c:v>421.5</c:v>
                </c:pt>
                <c:pt idx="19">
                  <c:v>420.9</c:v>
                </c:pt>
                <c:pt idx="20">
                  <c:v>421.7</c:v>
                </c:pt>
                <c:pt idx="21">
                  <c:v>419.96</c:v>
                </c:pt>
                <c:pt idx="22">
                  <c:v>421.8</c:v>
                </c:pt>
                <c:pt idx="23">
                  <c:v>421.5</c:v>
                </c:pt>
                <c:pt idx="24">
                  <c:v>422.1</c:v>
                </c:pt>
                <c:pt idx="25">
                  <c:v>420.91</c:v>
                </c:pt>
                <c:pt idx="26">
                  <c:v>421.57</c:v>
                </c:pt>
                <c:pt idx="27">
                  <c:v>420.2</c:v>
                </c:pt>
                <c:pt idx="28">
                  <c:v>421.33</c:v>
                </c:pt>
                <c:pt idx="29">
                  <c:v>421.34</c:v>
                </c:pt>
                <c:pt idx="30">
                  <c:v>421.51</c:v>
                </c:pt>
                <c:pt idx="31">
                  <c:v>420.54</c:v>
                </c:pt>
                <c:pt idx="32">
                  <c:v>420.95</c:v>
                </c:pt>
                <c:pt idx="33">
                  <c:v>421.52</c:v>
                </c:pt>
                <c:pt idx="34">
                  <c:v>421.8</c:v>
                </c:pt>
                <c:pt idx="35">
                  <c:v>422.09</c:v>
                </c:pt>
                <c:pt idx="36">
                  <c:v>419.84</c:v>
                </c:pt>
                <c:pt idx="37">
                  <c:v>421.22</c:v>
                </c:pt>
                <c:pt idx="38">
                  <c:v>420.96</c:v>
                </c:pt>
                <c:pt idx="39">
                  <c:v>421.22</c:v>
                </c:pt>
                <c:pt idx="40">
                  <c:v>420.98</c:v>
                </c:pt>
                <c:pt idx="41">
                  <c:v>421.62</c:v>
                </c:pt>
                <c:pt idx="42">
                  <c:v>421.37</c:v>
                </c:pt>
                <c:pt idx="43">
                  <c:v>422.2</c:v>
                </c:pt>
                <c:pt idx="44">
                  <c:v>422.02</c:v>
                </c:pt>
                <c:pt idx="45">
                  <c:v>422.52</c:v>
                </c:pt>
                <c:pt idx="46">
                  <c:v>419.99</c:v>
                </c:pt>
                <c:pt idx="47">
                  <c:v>422.28</c:v>
                </c:pt>
                <c:pt idx="48">
                  <c:v>421.27</c:v>
                </c:pt>
                <c:pt idx="49">
                  <c:v>422.23</c:v>
                </c:pt>
                <c:pt idx="50">
                  <c:v>422.6</c:v>
                </c:pt>
                <c:pt idx="51">
                  <c:v>421.16</c:v>
                </c:pt>
                <c:pt idx="52">
                  <c:v>421.54</c:v>
                </c:pt>
                <c:pt idx="53">
                  <c:v>421</c:v>
                </c:pt>
                <c:pt idx="54">
                  <c:v>422.02</c:v>
                </c:pt>
                <c:pt idx="55">
                  <c:v>422.3</c:v>
                </c:pt>
                <c:pt idx="56">
                  <c:v>420.75</c:v>
                </c:pt>
                <c:pt idx="57">
                  <c:v>421.7</c:v>
                </c:pt>
                <c:pt idx="58">
                  <c:v>421.91</c:v>
                </c:pt>
                <c:pt idx="59">
                  <c:v>421.84</c:v>
                </c:pt>
                <c:pt idx="60">
                  <c:v>420.1</c:v>
                </c:pt>
                <c:pt idx="61">
                  <c:v>421.46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161472"/>
        <c:axId val="127163392"/>
      </c:lineChart>
      <c:catAx>
        <c:axId val="127161472"/>
        <c:scaling>
          <c:orientation val="minMax"/>
        </c:scaling>
        <c:delete val="1"/>
        <c:axPos val="b"/>
        <c:majorTickMark val="out"/>
        <c:minorTickMark val="none"/>
        <c:tickLblPos val="nextTo"/>
        <c:crossAx val="127163392"/>
        <c:crosses val="autoZero"/>
        <c:auto val="0"/>
        <c:lblAlgn val="ctr"/>
        <c:lblOffset val="100"/>
        <c:noMultiLvlLbl val="1"/>
      </c:catAx>
      <c:valAx>
        <c:axId val="127163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7161472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[0]!G15_XValues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[0]!G15_Nominal</c:f>
              <c:numCache>
                <c:formatCode>General</c:formatCode>
                <c:ptCount val="62"/>
                <c:pt idx="0">
                  <c:v>459.6</c:v>
                </c:pt>
                <c:pt idx="1">
                  <c:v>459.6</c:v>
                </c:pt>
                <c:pt idx="2">
                  <c:v>459.6</c:v>
                </c:pt>
                <c:pt idx="3">
                  <c:v>459.6</c:v>
                </c:pt>
                <c:pt idx="4">
                  <c:v>459.6</c:v>
                </c:pt>
                <c:pt idx="5">
                  <c:v>459.6</c:v>
                </c:pt>
                <c:pt idx="6">
                  <c:v>459.6</c:v>
                </c:pt>
                <c:pt idx="7">
                  <c:v>459.6</c:v>
                </c:pt>
                <c:pt idx="8">
                  <c:v>459.6</c:v>
                </c:pt>
                <c:pt idx="9">
                  <c:v>459.6</c:v>
                </c:pt>
                <c:pt idx="10">
                  <c:v>459.6</c:v>
                </c:pt>
                <c:pt idx="11">
                  <c:v>459.6</c:v>
                </c:pt>
                <c:pt idx="12">
                  <c:v>459.6</c:v>
                </c:pt>
                <c:pt idx="13">
                  <c:v>459.6</c:v>
                </c:pt>
                <c:pt idx="14">
                  <c:v>459.6</c:v>
                </c:pt>
                <c:pt idx="15">
                  <c:v>459.6</c:v>
                </c:pt>
                <c:pt idx="16">
                  <c:v>459.6</c:v>
                </c:pt>
                <c:pt idx="17">
                  <c:v>459.6</c:v>
                </c:pt>
                <c:pt idx="18">
                  <c:v>459.6</c:v>
                </c:pt>
                <c:pt idx="19">
                  <c:v>459.6</c:v>
                </c:pt>
                <c:pt idx="20">
                  <c:v>459.6</c:v>
                </c:pt>
                <c:pt idx="21">
                  <c:v>459.6</c:v>
                </c:pt>
                <c:pt idx="22">
                  <c:v>459.6</c:v>
                </c:pt>
                <c:pt idx="23">
                  <c:v>459.6</c:v>
                </c:pt>
                <c:pt idx="24">
                  <c:v>459.6</c:v>
                </c:pt>
                <c:pt idx="25">
                  <c:v>459.6</c:v>
                </c:pt>
                <c:pt idx="26">
                  <c:v>459.6</c:v>
                </c:pt>
                <c:pt idx="27">
                  <c:v>459.6</c:v>
                </c:pt>
                <c:pt idx="28">
                  <c:v>459.6</c:v>
                </c:pt>
                <c:pt idx="29">
                  <c:v>459.6</c:v>
                </c:pt>
                <c:pt idx="30">
                  <c:v>459.6</c:v>
                </c:pt>
                <c:pt idx="31">
                  <c:v>459.6</c:v>
                </c:pt>
                <c:pt idx="32">
                  <c:v>459.6</c:v>
                </c:pt>
                <c:pt idx="33">
                  <c:v>459.6</c:v>
                </c:pt>
                <c:pt idx="34">
                  <c:v>459.6</c:v>
                </c:pt>
                <c:pt idx="35">
                  <c:v>459.6</c:v>
                </c:pt>
                <c:pt idx="36">
                  <c:v>459.6</c:v>
                </c:pt>
                <c:pt idx="37">
                  <c:v>459.6</c:v>
                </c:pt>
                <c:pt idx="38">
                  <c:v>459.6</c:v>
                </c:pt>
                <c:pt idx="39">
                  <c:v>459.6</c:v>
                </c:pt>
                <c:pt idx="40">
                  <c:v>459.6</c:v>
                </c:pt>
                <c:pt idx="41">
                  <c:v>459.6</c:v>
                </c:pt>
                <c:pt idx="42">
                  <c:v>459.6</c:v>
                </c:pt>
                <c:pt idx="43">
                  <c:v>459.6</c:v>
                </c:pt>
                <c:pt idx="44">
                  <c:v>459.6</c:v>
                </c:pt>
                <c:pt idx="45">
                  <c:v>459.6</c:v>
                </c:pt>
                <c:pt idx="46">
                  <c:v>459.6</c:v>
                </c:pt>
                <c:pt idx="47">
                  <c:v>459.6</c:v>
                </c:pt>
                <c:pt idx="48">
                  <c:v>459.6</c:v>
                </c:pt>
                <c:pt idx="49">
                  <c:v>459.6</c:v>
                </c:pt>
                <c:pt idx="50">
                  <c:v>459.6</c:v>
                </c:pt>
                <c:pt idx="51">
                  <c:v>459.6</c:v>
                </c:pt>
                <c:pt idx="52">
                  <c:v>459.6</c:v>
                </c:pt>
                <c:pt idx="53">
                  <c:v>459.6</c:v>
                </c:pt>
                <c:pt idx="54">
                  <c:v>459.6</c:v>
                </c:pt>
                <c:pt idx="55">
                  <c:v>459.6</c:v>
                </c:pt>
                <c:pt idx="56">
                  <c:v>459.6</c:v>
                </c:pt>
                <c:pt idx="57">
                  <c:v>459.6</c:v>
                </c:pt>
                <c:pt idx="58">
                  <c:v>459.6</c:v>
                </c:pt>
                <c:pt idx="59">
                  <c:v>459.6</c:v>
                </c:pt>
                <c:pt idx="60">
                  <c:v>459.6</c:v>
                </c:pt>
                <c:pt idx="61">
                  <c:v>459.6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[0]!G15_XValues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[0]!G15_Lie</c:f>
              <c:numCache>
                <c:formatCode>General</c:formatCode>
                <c:ptCount val="62"/>
                <c:pt idx="0">
                  <c:v>455.6</c:v>
                </c:pt>
                <c:pt idx="1">
                  <c:v>455.6</c:v>
                </c:pt>
                <c:pt idx="2">
                  <c:v>455.6</c:v>
                </c:pt>
                <c:pt idx="3">
                  <c:v>455.6</c:v>
                </c:pt>
                <c:pt idx="4">
                  <c:v>455.6</c:v>
                </c:pt>
                <c:pt idx="5">
                  <c:v>455.6</c:v>
                </c:pt>
                <c:pt idx="6">
                  <c:v>455.6</c:v>
                </c:pt>
                <c:pt idx="7">
                  <c:v>455.6</c:v>
                </c:pt>
                <c:pt idx="8">
                  <c:v>455.6</c:v>
                </c:pt>
                <c:pt idx="9">
                  <c:v>455.6</c:v>
                </c:pt>
                <c:pt idx="10">
                  <c:v>455.6</c:v>
                </c:pt>
                <c:pt idx="11">
                  <c:v>455.6</c:v>
                </c:pt>
                <c:pt idx="12">
                  <c:v>455.6</c:v>
                </c:pt>
                <c:pt idx="13">
                  <c:v>455.6</c:v>
                </c:pt>
                <c:pt idx="14">
                  <c:v>455.6</c:v>
                </c:pt>
                <c:pt idx="15">
                  <c:v>455.6</c:v>
                </c:pt>
                <c:pt idx="16">
                  <c:v>455.6</c:v>
                </c:pt>
                <c:pt idx="17">
                  <c:v>455.6</c:v>
                </c:pt>
                <c:pt idx="18">
                  <c:v>455.6</c:v>
                </c:pt>
                <c:pt idx="19">
                  <c:v>455.6</c:v>
                </c:pt>
                <c:pt idx="20">
                  <c:v>455.6</c:v>
                </c:pt>
                <c:pt idx="21">
                  <c:v>455.6</c:v>
                </c:pt>
                <c:pt idx="22">
                  <c:v>455.6</c:v>
                </c:pt>
                <c:pt idx="23">
                  <c:v>455.6</c:v>
                </c:pt>
                <c:pt idx="24">
                  <c:v>455.6</c:v>
                </c:pt>
                <c:pt idx="25">
                  <c:v>455.6</c:v>
                </c:pt>
                <c:pt idx="26">
                  <c:v>455.6</c:v>
                </c:pt>
                <c:pt idx="27">
                  <c:v>455.6</c:v>
                </c:pt>
                <c:pt idx="28">
                  <c:v>455.6</c:v>
                </c:pt>
                <c:pt idx="29">
                  <c:v>455.6</c:v>
                </c:pt>
                <c:pt idx="30">
                  <c:v>455.6</c:v>
                </c:pt>
                <c:pt idx="31">
                  <c:v>455.6</c:v>
                </c:pt>
                <c:pt idx="32">
                  <c:v>455.6</c:v>
                </c:pt>
                <c:pt idx="33">
                  <c:v>455.6</c:v>
                </c:pt>
                <c:pt idx="34">
                  <c:v>455.6</c:v>
                </c:pt>
                <c:pt idx="35">
                  <c:v>455.6</c:v>
                </c:pt>
                <c:pt idx="36">
                  <c:v>455.6</c:v>
                </c:pt>
                <c:pt idx="37">
                  <c:v>455.6</c:v>
                </c:pt>
                <c:pt idx="38">
                  <c:v>455.6</c:v>
                </c:pt>
                <c:pt idx="39">
                  <c:v>455.6</c:v>
                </c:pt>
                <c:pt idx="40">
                  <c:v>455.6</c:v>
                </c:pt>
                <c:pt idx="41">
                  <c:v>455.6</c:v>
                </c:pt>
                <c:pt idx="42">
                  <c:v>455.6</c:v>
                </c:pt>
                <c:pt idx="43">
                  <c:v>455.6</c:v>
                </c:pt>
                <c:pt idx="44">
                  <c:v>455.6</c:v>
                </c:pt>
                <c:pt idx="45">
                  <c:v>455.6</c:v>
                </c:pt>
                <c:pt idx="46">
                  <c:v>455.6</c:v>
                </c:pt>
                <c:pt idx="47">
                  <c:v>455.6</c:v>
                </c:pt>
                <c:pt idx="48">
                  <c:v>455.6</c:v>
                </c:pt>
                <c:pt idx="49">
                  <c:v>455.6</c:v>
                </c:pt>
                <c:pt idx="50">
                  <c:v>455.6</c:v>
                </c:pt>
                <c:pt idx="51">
                  <c:v>455.6</c:v>
                </c:pt>
                <c:pt idx="52">
                  <c:v>455.6</c:v>
                </c:pt>
                <c:pt idx="53">
                  <c:v>455.6</c:v>
                </c:pt>
                <c:pt idx="54">
                  <c:v>455.6</c:v>
                </c:pt>
                <c:pt idx="55">
                  <c:v>455.6</c:v>
                </c:pt>
                <c:pt idx="56">
                  <c:v>455.6</c:v>
                </c:pt>
                <c:pt idx="57">
                  <c:v>455.6</c:v>
                </c:pt>
                <c:pt idx="58">
                  <c:v>455.6</c:v>
                </c:pt>
                <c:pt idx="59">
                  <c:v>455.6</c:v>
                </c:pt>
                <c:pt idx="60">
                  <c:v>455.6</c:v>
                </c:pt>
                <c:pt idx="61">
                  <c:v>455.6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[0]!G15_XValues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[0]!G15_Lse</c:f>
              <c:numCache>
                <c:formatCode>General</c:formatCode>
                <c:ptCount val="62"/>
                <c:pt idx="0">
                  <c:v>463.6</c:v>
                </c:pt>
                <c:pt idx="1">
                  <c:v>463.6</c:v>
                </c:pt>
                <c:pt idx="2">
                  <c:v>463.6</c:v>
                </c:pt>
                <c:pt idx="3">
                  <c:v>463.6</c:v>
                </c:pt>
                <c:pt idx="4">
                  <c:v>463.6</c:v>
                </c:pt>
                <c:pt idx="5">
                  <c:v>463.6</c:v>
                </c:pt>
                <c:pt idx="6">
                  <c:v>463.6</c:v>
                </c:pt>
                <c:pt idx="7">
                  <c:v>463.6</c:v>
                </c:pt>
                <c:pt idx="8">
                  <c:v>463.6</c:v>
                </c:pt>
                <c:pt idx="9">
                  <c:v>463.6</c:v>
                </c:pt>
                <c:pt idx="10">
                  <c:v>463.6</c:v>
                </c:pt>
                <c:pt idx="11">
                  <c:v>463.6</c:v>
                </c:pt>
                <c:pt idx="12">
                  <c:v>463.6</c:v>
                </c:pt>
                <c:pt idx="13">
                  <c:v>463.6</c:v>
                </c:pt>
                <c:pt idx="14">
                  <c:v>463.6</c:v>
                </c:pt>
                <c:pt idx="15">
                  <c:v>463.6</c:v>
                </c:pt>
                <c:pt idx="16">
                  <c:v>463.6</c:v>
                </c:pt>
                <c:pt idx="17">
                  <c:v>463.6</c:v>
                </c:pt>
                <c:pt idx="18">
                  <c:v>463.6</c:v>
                </c:pt>
                <c:pt idx="19">
                  <c:v>463.6</c:v>
                </c:pt>
                <c:pt idx="20">
                  <c:v>463.6</c:v>
                </c:pt>
                <c:pt idx="21">
                  <c:v>463.6</c:v>
                </c:pt>
                <c:pt idx="22">
                  <c:v>463.6</c:v>
                </c:pt>
                <c:pt idx="23">
                  <c:v>463.6</c:v>
                </c:pt>
                <c:pt idx="24">
                  <c:v>463.6</c:v>
                </c:pt>
                <c:pt idx="25">
                  <c:v>463.6</c:v>
                </c:pt>
                <c:pt idx="26">
                  <c:v>463.6</c:v>
                </c:pt>
                <c:pt idx="27">
                  <c:v>463.6</c:v>
                </c:pt>
                <c:pt idx="28">
                  <c:v>463.6</c:v>
                </c:pt>
                <c:pt idx="29">
                  <c:v>463.6</c:v>
                </c:pt>
                <c:pt idx="30">
                  <c:v>463.6</c:v>
                </c:pt>
                <c:pt idx="31">
                  <c:v>463.6</c:v>
                </c:pt>
                <c:pt idx="32">
                  <c:v>463.6</c:v>
                </c:pt>
                <c:pt idx="33">
                  <c:v>463.6</c:v>
                </c:pt>
                <c:pt idx="34">
                  <c:v>463.6</c:v>
                </c:pt>
                <c:pt idx="35">
                  <c:v>463.6</c:v>
                </c:pt>
                <c:pt idx="36">
                  <c:v>463.6</c:v>
                </c:pt>
                <c:pt idx="37">
                  <c:v>463.6</c:v>
                </c:pt>
                <c:pt idx="38">
                  <c:v>463.6</c:v>
                </c:pt>
                <c:pt idx="39">
                  <c:v>463.6</c:v>
                </c:pt>
                <c:pt idx="40">
                  <c:v>463.6</c:v>
                </c:pt>
                <c:pt idx="41">
                  <c:v>463.6</c:v>
                </c:pt>
                <c:pt idx="42">
                  <c:v>463.6</c:v>
                </c:pt>
                <c:pt idx="43">
                  <c:v>463.6</c:v>
                </c:pt>
                <c:pt idx="44">
                  <c:v>463.6</c:v>
                </c:pt>
                <c:pt idx="45">
                  <c:v>463.6</c:v>
                </c:pt>
                <c:pt idx="46">
                  <c:v>463.6</c:v>
                </c:pt>
                <c:pt idx="47">
                  <c:v>463.6</c:v>
                </c:pt>
                <c:pt idx="48">
                  <c:v>463.6</c:v>
                </c:pt>
                <c:pt idx="49">
                  <c:v>463.6</c:v>
                </c:pt>
                <c:pt idx="50">
                  <c:v>463.6</c:v>
                </c:pt>
                <c:pt idx="51">
                  <c:v>463.6</c:v>
                </c:pt>
                <c:pt idx="52">
                  <c:v>463.6</c:v>
                </c:pt>
                <c:pt idx="53">
                  <c:v>463.6</c:v>
                </c:pt>
                <c:pt idx="54">
                  <c:v>463.6</c:v>
                </c:pt>
                <c:pt idx="55">
                  <c:v>463.6</c:v>
                </c:pt>
                <c:pt idx="56">
                  <c:v>463.6</c:v>
                </c:pt>
                <c:pt idx="57">
                  <c:v>463.6</c:v>
                </c:pt>
                <c:pt idx="58">
                  <c:v>463.6</c:v>
                </c:pt>
                <c:pt idx="59">
                  <c:v>463.6</c:v>
                </c:pt>
                <c:pt idx="60">
                  <c:v>463.6</c:v>
                </c:pt>
                <c:pt idx="61">
                  <c:v>463.6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[0]!G15_XValues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[0]!G15_Data</c:f>
              <c:numCache>
                <c:formatCode>General</c:formatCode>
                <c:ptCount val="62"/>
                <c:pt idx="0">
                  <c:v>460.13</c:v>
                </c:pt>
                <c:pt idx="1">
                  <c:v>459.11</c:v>
                </c:pt>
                <c:pt idx="2">
                  <c:v>460.06</c:v>
                </c:pt>
                <c:pt idx="3">
                  <c:v>459.5</c:v>
                </c:pt>
                <c:pt idx="4">
                  <c:v>459.9</c:v>
                </c:pt>
                <c:pt idx="5">
                  <c:v>459.3</c:v>
                </c:pt>
                <c:pt idx="6">
                  <c:v>459.8</c:v>
                </c:pt>
                <c:pt idx="7">
                  <c:v>459.4</c:v>
                </c:pt>
                <c:pt idx="8">
                  <c:v>460.1</c:v>
                </c:pt>
                <c:pt idx="9">
                  <c:v>460.57</c:v>
                </c:pt>
                <c:pt idx="10">
                  <c:v>459.02</c:v>
                </c:pt>
                <c:pt idx="11">
                  <c:v>458.89</c:v>
                </c:pt>
                <c:pt idx="12">
                  <c:v>459.69</c:v>
                </c:pt>
                <c:pt idx="13">
                  <c:v>460.23</c:v>
                </c:pt>
                <c:pt idx="14">
                  <c:v>459.21</c:v>
                </c:pt>
                <c:pt idx="15">
                  <c:v>459.48</c:v>
                </c:pt>
                <c:pt idx="16">
                  <c:v>458.83</c:v>
                </c:pt>
                <c:pt idx="17">
                  <c:v>459.36</c:v>
                </c:pt>
                <c:pt idx="18">
                  <c:v>459.6</c:v>
                </c:pt>
                <c:pt idx="19">
                  <c:v>459</c:v>
                </c:pt>
                <c:pt idx="20">
                  <c:v>459.1</c:v>
                </c:pt>
                <c:pt idx="21">
                  <c:v>459.55</c:v>
                </c:pt>
                <c:pt idx="22">
                  <c:v>459.6</c:v>
                </c:pt>
                <c:pt idx="23">
                  <c:v>459.5</c:v>
                </c:pt>
                <c:pt idx="24">
                  <c:v>459.7</c:v>
                </c:pt>
                <c:pt idx="25">
                  <c:v>459.08</c:v>
                </c:pt>
                <c:pt idx="26">
                  <c:v>459.75</c:v>
                </c:pt>
                <c:pt idx="27">
                  <c:v>459.87</c:v>
                </c:pt>
                <c:pt idx="28">
                  <c:v>459.59</c:v>
                </c:pt>
                <c:pt idx="29">
                  <c:v>459.76</c:v>
                </c:pt>
                <c:pt idx="30">
                  <c:v>459.45</c:v>
                </c:pt>
                <c:pt idx="31">
                  <c:v>459.52</c:v>
                </c:pt>
                <c:pt idx="32">
                  <c:v>459.69</c:v>
                </c:pt>
                <c:pt idx="33">
                  <c:v>459.9</c:v>
                </c:pt>
                <c:pt idx="34">
                  <c:v>459.7</c:v>
                </c:pt>
                <c:pt idx="35">
                  <c:v>459.73</c:v>
                </c:pt>
                <c:pt idx="36">
                  <c:v>460.2</c:v>
                </c:pt>
                <c:pt idx="37">
                  <c:v>459.71</c:v>
                </c:pt>
                <c:pt idx="38">
                  <c:v>460.12</c:v>
                </c:pt>
                <c:pt idx="39">
                  <c:v>460.1</c:v>
                </c:pt>
                <c:pt idx="40">
                  <c:v>460.14</c:v>
                </c:pt>
                <c:pt idx="41">
                  <c:v>461.17</c:v>
                </c:pt>
                <c:pt idx="42">
                  <c:v>460.51</c:v>
                </c:pt>
                <c:pt idx="43">
                  <c:v>460.47</c:v>
                </c:pt>
                <c:pt idx="44">
                  <c:v>459.74</c:v>
                </c:pt>
                <c:pt idx="45">
                  <c:v>459.81</c:v>
                </c:pt>
                <c:pt idx="46">
                  <c:v>460.17</c:v>
                </c:pt>
                <c:pt idx="47">
                  <c:v>459.78</c:v>
                </c:pt>
                <c:pt idx="48">
                  <c:v>459.62</c:v>
                </c:pt>
                <c:pt idx="49">
                  <c:v>460.16</c:v>
                </c:pt>
                <c:pt idx="50">
                  <c:v>460.53</c:v>
                </c:pt>
                <c:pt idx="51">
                  <c:v>460.49</c:v>
                </c:pt>
                <c:pt idx="52">
                  <c:v>460.02</c:v>
                </c:pt>
                <c:pt idx="53">
                  <c:v>459.47</c:v>
                </c:pt>
                <c:pt idx="54">
                  <c:v>459.7</c:v>
                </c:pt>
                <c:pt idx="55">
                  <c:v>459.74</c:v>
                </c:pt>
                <c:pt idx="56">
                  <c:v>459.25</c:v>
                </c:pt>
                <c:pt idx="57">
                  <c:v>459.88</c:v>
                </c:pt>
                <c:pt idx="58">
                  <c:v>460.03</c:v>
                </c:pt>
                <c:pt idx="59">
                  <c:v>460.53</c:v>
                </c:pt>
                <c:pt idx="60">
                  <c:v>460.25</c:v>
                </c:pt>
                <c:pt idx="61">
                  <c:v>459.19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027840"/>
        <c:axId val="127034112"/>
      </c:lineChart>
      <c:catAx>
        <c:axId val="127027840"/>
        <c:scaling>
          <c:orientation val="minMax"/>
        </c:scaling>
        <c:delete val="1"/>
        <c:axPos val="b"/>
        <c:majorTickMark val="out"/>
        <c:minorTickMark val="none"/>
        <c:tickLblPos val="nextTo"/>
        <c:crossAx val="127034112"/>
        <c:crosses val="autoZero"/>
        <c:auto val="0"/>
        <c:lblAlgn val="ctr"/>
        <c:lblOffset val="100"/>
        <c:noMultiLvlLbl val="1"/>
      </c:catAx>
      <c:valAx>
        <c:axId val="127034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7027840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[0]!G16_XValues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[0]!G16_Nominal</c:f>
              <c:numCache>
                <c:formatCode>General</c:formatCode>
                <c:ptCount val="62"/>
                <c:pt idx="0">
                  <c:v>1071.4000000000001</c:v>
                </c:pt>
                <c:pt idx="1">
                  <c:v>1071.4000000000001</c:v>
                </c:pt>
                <c:pt idx="2">
                  <c:v>1071.4000000000001</c:v>
                </c:pt>
                <c:pt idx="3">
                  <c:v>1071.4000000000001</c:v>
                </c:pt>
                <c:pt idx="4">
                  <c:v>1071.4000000000001</c:v>
                </c:pt>
                <c:pt idx="5">
                  <c:v>1071.4000000000001</c:v>
                </c:pt>
                <c:pt idx="6">
                  <c:v>1071.4000000000001</c:v>
                </c:pt>
                <c:pt idx="7">
                  <c:v>1071.4000000000001</c:v>
                </c:pt>
                <c:pt idx="8">
                  <c:v>1071.4000000000001</c:v>
                </c:pt>
                <c:pt idx="9">
                  <c:v>1071.4000000000001</c:v>
                </c:pt>
                <c:pt idx="10">
                  <c:v>1071.4000000000001</c:v>
                </c:pt>
                <c:pt idx="11">
                  <c:v>1071.4000000000001</c:v>
                </c:pt>
                <c:pt idx="12">
                  <c:v>1071.4000000000001</c:v>
                </c:pt>
                <c:pt idx="13">
                  <c:v>1071.4000000000001</c:v>
                </c:pt>
                <c:pt idx="14">
                  <c:v>1071.4000000000001</c:v>
                </c:pt>
                <c:pt idx="15">
                  <c:v>1071.4000000000001</c:v>
                </c:pt>
                <c:pt idx="16">
                  <c:v>1071.4000000000001</c:v>
                </c:pt>
                <c:pt idx="17">
                  <c:v>1071.4000000000001</c:v>
                </c:pt>
                <c:pt idx="18">
                  <c:v>1071.4000000000001</c:v>
                </c:pt>
                <c:pt idx="19">
                  <c:v>1071.4000000000001</c:v>
                </c:pt>
                <c:pt idx="20">
                  <c:v>1071.4000000000001</c:v>
                </c:pt>
                <c:pt idx="21">
                  <c:v>1071.4000000000001</c:v>
                </c:pt>
                <c:pt idx="22">
                  <c:v>1071.4000000000001</c:v>
                </c:pt>
                <c:pt idx="23">
                  <c:v>1071.4000000000001</c:v>
                </c:pt>
                <c:pt idx="24">
                  <c:v>1071.4000000000001</c:v>
                </c:pt>
                <c:pt idx="25">
                  <c:v>1071.4000000000001</c:v>
                </c:pt>
                <c:pt idx="26">
                  <c:v>1071.4000000000001</c:v>
                </c:pt>
                <c:pt idx="27">
                  <c:v>1071.4000000000001</c:v>
                </c:pt>
                <c:pt idx="28">
                  <c:v>1071.4000000000001</c:v>
                </c:pt>
                <c:pt idx="29">
                  <c:v>1071.4000000000001</c:v>
                </c:pt>
                <c:pt idx="30">
                  <c:v>1071.4000000000001</c:v>
                </c:pt>
                <c:pt idx="31">
                  <c:v>1071.4000000000001</c:v>
                </c:pt>
                <c:pt idx="32">
                  <c:v>1071.4000000000001</c:v>
                </c:pt>
                <c:pt idx="33">
                  <c:v>1071.4000000000001</c:v>
                </c:pt>
                <c:pt idx="34">
                  <c:v>1071.4000000000001</c:v>
                </c:pt>
                <c:pt idx="35">
                  <c:v>1071.4000000000001</c:v>
                </c:pt>
                <c:pt idx="36">
                  <c:v>1071.4000000000001</c:v>
                </c:pt>
                <c:pt idx="37">
                  <c:v>1071.4000000000001</c:v>
                </c:pt>
                <c:pt idx="38">
                  <c:v>1071.4000000000001</c:v>
                </c:pt>
                <c:pt idx="39">
                  <c:v>1071.4000000000001</c:v>
                </c:pt>
                <c:pt idx="40">
                  <c:v>1071.4000000000001</c:v>
                </c:pt>
                <c:pt idx="41">
                  <c:v>1071.4000000000001</c:v>
                </c:pt>
                <c:pt idx="42">
                  <c:v>1071.4000000000001</c:v>
                </c:pt>
                <c:pt idx="43">
                  <c:v>1071.4000000000001</c:v>
                </c:pt>
                <c:pt idx="44">
                  <c:v>1071.4000000000001</c:v>
                </c:pt>
                <c:pt idx="45">
                  <c:v>1071.4000000000001</c:v>
                </c:pt>
                <c:pt idx="46">
                  <c:v>1071.4000000000001</c:v>
                </c:pt>
                <c:pt idx="47">
                  <c:v>1071.4000000000001</c:v>
                </c:pt>
                <c:pt idx="48">
                  <c:v>1071.4000000000001</c:v>
                </c:pt>
                <c:pt idx="49">
                  <c:v>1071.4000000000001</c:v>
                </c:pt>
                <c:pt idx="50">
                  <c:v>1071.4000000000001</c:v>
                </c:pt>
                <c:pt idx="51">
                  <c:v>1071.4000000000001</c:v>
                </c:pt>
                <c:pt idx="52">
                  <c:v>1071.4000000000001</c:v>
                </c:pt>
                <c:pt idx="53">
                  <c:v>1071.4000000000001</c:v>
                </c:pt>
                <c:pt idx="54">
                  <c:v>1071.4000000000001</c:v>
                </c:pt>
                <c:pt idx="55">
                  <c:v>1071.4000000000001</c:v>
                </c:pt>
                <c:pt idx="56">
                  <c:v>1071.4000000000001</c:v>
                </c:pt>
                <c:pt idx="57">
                  <c:v>1071.4000000000001</c:v>
                </c:pt>
                <c:pt idx="58">
                  <c:v>1071.4000000000001</c:v>
                </c:pt>
                <c:pt idx="59">
                  <c:v>1071.4000000000001</c:v>
                </c:pt>
                <c:pt idx="60">
                  <c:v>1071.4000000000001</c:v>
                </c:pt>
                <c:pt idx="61">
                  <c:v>1071.4000000000001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[0]!G16_XValues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[0]!G16_Lie</c:f>
              <c:numCache>
                <c:formatCode>General</c:formatCode>
                <c:ptCount val="62"/>
                <c:pt idx="0">
                  <c:v>1067.4000000000001</c:v>
                </c:pt>
                <c:pt idx="1">
                  <c:v>1067.4000000000001</c:v>
                </c:pt>
                <c:pt idx="2">
                  <c:v>1067.4000000000001</c:v>
                </c:pt>
                <c:pt idx="3">
                  <c:v>1067.4000000000001</c:v>
                </c:pt>
                <c:pt idx="4">
                  <c:v>1067.4000000000001</c:v>
                </c:pt>
                <c:pt idx="5">
                  <c:v>1067.4000000000001</c:v>
                </c:pt>
                <c:pt idx="6">
                  <c:v>1067.4000000000001</c:v>
                </c:pt>
                <c:pt idx="7">
                  <c:v>1067.4000000000001</c:v>
                </c:pt>
                <c:pt idx="8">
                  <c:v>1067.4000000000001</c:v>
                </c:pt>
                <c:pt idx="9">
                  <c:v>1067.4000000000001</c:v>
                </c:pt>
                <c:pt idx="10">
                  <c:v>1067.4000000000001</c:v>
                </c:pt>
                <c:pt idx="11">
                  <c:v>1067.4000000000001</c:v>
                </c:pt>
                <c:pt idx="12">
                  <c:v>1067.4000000000001</c:v>
                </c:pt>
                <c:pt idx="13">
                  <c:v>1067.4000000000001</c:v>
                </c:pt>
                <c:pt idx="14">
                  <c:v>1067.4000000000001</c:v>
                </c:pt>
                <c:pt idx="15">
                  <c:v>1067.4000000000001</c:v>
                </c:pt>
                <c:pt idx="16">
                  <c:v>1067.4000000000001</c:v>
                </c:pt>
                <c:pt idx="17">
                  <c:v>1067.4000000000001</c:v>
                </c:pt>
                <c:pt idx="18">
                  <c:v>1067.4000000000001</c:v>
                </c:pt>
                <c:pt idx="19">
                  <c:v>1067.4000000000001</c:v>
                </c:pt>
                <c:pt idx="20">
                  <c:v>1067.4000000000001</c:v>
                </c:pt>
                <c:pt idx="21">
                  <c:v>1067.4000000000001</c:v>
                </c:pt>
                <c:pt idx="22">
                  <c:v>1067.4000000000001</c:v>
                </c:pt>
                <c:pt idx="23">
                  <c:v>1067.4000000000001</c:v>
                </c:pt>
                <c:pt idx="24">
                  <c:v>1067.4000000000001</c:v>
                </c:pt>
                <c:pt idx="25">
                  <c:v>1067.4000000000001</c:v>
                </c:pt>
                <c:pt idx="26">
                  <c:v>1067.4000000000001</c:v>
                </c:pt>
                <c:pt idx="27">
                  <c:v>1067.4000000000001</c:v>
                </c:pt>
                <c:pt idx="28">
                  <c:v>1067.4000000000001</c:v>
                </c:pt>
                <c:pt idx="29">
                  <c:v>1067.4000000000001</c:v>
                </c:pt>
                <c:pt idx="30">
                  <c:v>1067.4000000000001</c:v>
                </c:pt>
                <c:pt idx="31">
                  <c:v>1067.4000000000001</c:v>
                </c:pt>
                <c:pt idx="32">
                  <c:v>1067.4000000000001</c:v>
                </c:pt>
                <c:pt idx="33">
                  <c:v>1067.4000000000001</c:v>
                </c:pt>
                <c:pt idx="34">
                  <c:v>1067.4000000000001</c:v>
                </c:pt>
                <c:pt idx="35">
                  <c:v>1067.4000000000001</c:v>
                </c:pt>
                <c:pt idx="36">
                  <c:v>1067.4000000000001</c:v>
                </c:pt>
                <c:pt idx="37">
                  <c:v>1067.4000000000001</c:v>
                </c:pt>
                <c:pt idx="38">
                  <c:v>1067.4000000000001</c:v>
                </c:pt>
                <c:pt idx="39">
                  <c:v>1067.4000000000001</c:v>
                </c:pt>
                <c:pt idx="40">
                  <c:v>1067.4000000000001</c:v>
                </c:pt>
                <c:pt idx="41">
                  <c:v>1067.4000000000001</c:v>
                </c:pt>
                <c:pt idx="42">
                  <c:v>1067.4000000000001</c:v>
                </c:pt>
                <c:pt idx="43">
                  <c:v>1067.4000000000001</c:v>
                </c:pt>
                <c:pt idx="44">
                  <c:v>1067.4000000000001</c:v>
                </c:pt>
                <c:pt idx="45">
                  <c:v>1067.4000000000001</c:v>
                </c:pt>
                <c:pt idx="46">
                  <c:v>1067.4000000000001</c:v>
                </c:pt>
                <c:pt idx="47">
                  <c:v>1067.4000000000001</c:v>
                </c:pt>
                <c:pt idx="48">
                  <c:v>1067.4000000000001</c:v>
                </c:pt>
                <c:pt idx="49">
                  <c:v>1067.4000000000001</c:v>
                </c:pt>
                <c:pt idx="50">
                  <c:v>1067.4000000000001</c:v>
                </c:pt>
                <c:pt idx="51">
                  <c:v>1067.4000000000001</c:v>
                </c:pt>
                <c:pt idx="52">
                  <c:v>1067.4000000000001</c:v>
                </c:pt>
                <c:pt idx="53">
                  <c:v>1067.4000000000001</c:v>
                </c:pt>
                <c:pt idx="54">
                  <c:v>1067.4000000000001</c:v>
                </c:pt>
                <c:pt idx="55">
                  <c:v>1067.4000000000001</c:v>
                </c:pt>
                <c:pt idx="56">
                  <c:v>1067.4000000000001</c:v>
                </c:pt>
                <c:pt idx="57">
                  <c:v>1067.4000000000001</c:v>
                </c:pt>
                <c:pt idx="58">
                  <c:v>1067.4000000000001</c:v>
                </c:pt>
                <c:pt idx="59">
                  <c:v>1067.4000000000001</c:v>
                </c:pt>
                <c:pt idx="60">
                  <c:v>1067.4000000000001</c:v>
                </c:pt>
                <c:pt idx="61">
                  <c:v>1067.4000000000001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[0]!G16_XValues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[0]!G16_Lse</c:f>
              <c:numCache>
                <c:formatCode>General</c:formatCode>
                <c:ptCount val="62"/>
                <c:pt idx="0">
                  <c:v>1075.4000000000001</c:v>
                </c:pt>
                <c:pt idx="1">
                  <c:v>1075.4000000000001</c:v>
                </c:pt>
                <c:pt idx="2">
                  <c:v>1075.4000000000001</c:v>
                </c:pt>
                <c:pt idx="3">
                  <c:v>1075.4000000000001</c:v>
                </c:pt>
                <c:pt idx="4">
                  <c:v>1075.4000000000001</c:v>
                </c:pt>
                <c:pt idx="5">
                  <c:v>1075.4000000000001</c:v>
                </c:pt>
                <c:pt idx="6">
                  <c:v>1075.4000000000001</c:v>
                </c:pt>
                <c:pt idx="7">
                  <c:v>1075.4000000000001</c:v>
                </c:pt>
                <c:pt idx="8">
                  <c:v>1075.4000000000001</c:v>
                </c:pt>
                <c:pt idx="9">
                  <c:v>1075.4000000000001</c:v>
                </c:pt>
                <c:pt idx="10">
                  <c:v>1075.4000000000001</c:v>
                </c:pt>
                <c:pt idx="11">
                  <c:v>1075.4000000000001</c:v>
                </c:pt>
                <c:pt idx="12">
                  <c:v>1075.4000000000001</c:v>
                </c:pt>
                <c:pt idx="13">
                  <c:v>1075.4000000000001</c:v>
                </c:pt>
                <c:pt idx="14">
                  <c:v>1075.4000000000001</c:v>
                </c:pt>
                <c:pt idx="15">
                  <c:v>1075.4000000000001</c:v>
                </c:pt>
                <c:pt idx="16">
                  <c:v>1075.4000000000001</c:v>
                </c:pt>
                <c:pt idx="17">
                  <c:v>1075.4000000000001</c:v>
                </c:pt>
                <c:pt idx="18">
                  <c:v>1075.4000000000001</c:v>
                </c:pt>
                <c:pt idx="19">
                  <c:v>1075.4000000000001</c:v>
                </c:pt>
                <c:pt idx="20">
                  <c:v>1075.4000000000001</c:v>
                </c:pt>
                <c:pt idx="21">
                  <c:v>1075.4000000000001</c:v>
                </c:pt>
                <c:pt idx="22">
                  <c:v>1075.4000000000001</c:v>
                </c:pt>
                <c:pt idx="23">
                  <c:v>1075.4000000000001</c:v>
                </c:pt>
                <c:pt idx="24">
                  <c:v>1075.4000000000001</c:v>
                </c:pt>
                <c:pt idx="25">
                  <c:v>1075.4000000000001</c:v>
                </c:pt>
                <c:pt idx="26">
                  <c:v>1075.4000000000001</c:v>
                </c:pt>
                <c:pt idx="27">
                  <c:v>1075.4000000000001</c:v>
                </c:pt>
                <c:pt idx="28">
                  <c:v>1075.4000000000001</c:v>
                </c:pt>
                <c:pt idx="29">
                  <c:v>1075.4000000000001</c:v>
                </c:pt>
                <c:pt idx="30">
                  <c:v>1075.4000000000001</c:v>
                </c:pt>
                <c:pt idx="31">
                  <c:v>1075.4000000000001</c:v>
                </c:pt>
                <c:pt idx="32">
                  <c:v>1075.4000000000001</c:v>
                </c:pt>
                <c:pt idx="33">
                  <c:v>1075.4000000000001</c:v>
                </c:pt>
                <c:pt idx="34">
                  <c:v>1075.4000000000001</c:v>
                </c:pt>
                <c:pt idx="35">
                  <c:v>1075.4000000000001</c:v>
                </c:pt>
                <c:pt idx="36">
                  <c:v>1075.4000000000001</c:v>
                </c:pt>
                <c:pt idx="37">
                  <c:v>1075.4000000000001</c:v>
                </c:pt>
                <c:pt idx="38">
                  <c:v>1075.4000000000001</c:v>
                </c:pt>
                <c:pt idx="39">
                  <c:v>1075.4000000000001</c:v>
                </c:pt>
                <c:pt idx="40">
                  <c:v>1075.4000000000001</c:v>
                </c:pt>
                <c:pt idx="41">
                  <c:v>1075.4000000000001</c:v>
                </c:pt>
                <c:pt idx="42">
                  <c:v>1075.4000000000001</c:v>
                </c:pt>
                <c:pt idx="43">
                  <c:v>1075.4000000000001</c:v>
                </c:pt>
                <c:pt idx="44">
                  <c:v>1075.4000000000001</c:v>
                </c:pt>
                <c:pt idx="45">
                  <c:v>1075.4000000000001</c:v>
                </c:pt>
                <c:pt idx="46">
                  <c:v>1075.4000000000001</c:v>
                </c:pt>
                <c:pt idx="47">
                  <c:v>1075.4000000000001</c:v>
                </c:pt>
                <c:pt idx="48">
                  <c:v>1075.4000000000001</c:v>
                </c:pt>
                <c:pt idx="49">
                  <c:v>1075.4000000000001</c:v>
                </c:pt>
                <c:pt idx="50">
                  <c:v>1075.4000000000001</c:v>
                </c:pt>
                <c:pt idx="51">
                  <c:v>1075.4000000000001</c:v>
                </c:pt>
                <c:pt idx="52">
                  <c:v>1075.4000000000001</c:v>
                </c:pt>
                <c:pt idx="53">
                  <c:v>1075.4000000000001</c:v>
                </c:pt>
                <c:pt idx="54">
                  <c:v>1075.4000000000001</c:v>
                </c:pt>
                <c:pt idx="55">
                  <c:v>1075.4000000000001</c:v>
                </c:pt>
                <c:pt idx="56">
                  <c:v>1075.4000000000001</c:v>
                </c:pt>
                <c:pt idx="57">
                  <c:v>1075.4000000000001</c:v>
                </c:pt>
                <c:pt idx="58">
                  <c:v>1075.4000000000001</c:v>
                </c:pt>
                <c:pt idx="59">
                  <c:v>1075.4000000000001</c:v>
                </c:pt>
                <c:pt idx="60">
                  <c:v>1075.4000000000001</c:v>
                </c:pt>
                <c:pt idx="61">
                  <c:v>1075.4000000000001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[0]!G16_XValues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[0]!G16_Data</c:f>
              <c:numCache>
                <c:formatCode>General</c:formatCode>
                <c:ptCount val="62"/>
                <c:pt idx="0">
                  <c:v>1069.8599999999999</c:v>
                </c:pt>
                <c:pt idx="1">
                  <c:v>1070.52</c:v>
                </c:pt>
                <c:pt idx="2">
                  <c:v>1070.2</c:v>
                </c:pt>
                <c:pt idx="3">
                  <c:v>1071</c:v>
                </c:pt>
                <c:pt idx="4">
                  <c:v>1069.9000000000001</c:v>
                </c:pt>
                <c:pt idx="5">
                  <c:v>1070.5999999999999</c:v>
                </c:pt>
                <c:pt idx="6">
                  <c:v>1069.0999999999999</c:v>
                </c:pt>
                <c:pt idx="7">
                  <c:v>1070.7</c:v>
                </c:pt>
                <c:pt idx="8">
                  <c:v>1070.5999999999999</c:v>
                </c:pt>
                <c:pt idx="9">
                  <c:v>1070.69</c:v>
                </c:pt>
                <c:pt idx="10">
                  <c:v>1070.25</c:v>
                </c:pt>
                <c:pt idx="11">
                  <c:v>1070.74</c:v>
                </c:pt>
                <c:pt idx="12">
                  <c:v>1070.43</c:v>
                </c:pt>
                <c:pt idx="13">
                  <c:v>1070.06</c:v>
                </c:pt>
                <c:pt idx="14">
                  <c:v>1070.1199999999999</c:v>
                </c:pt>
                <c:pt idx="15">
                  <c:v>1070.31</c:v>
                </c:pt>
                <c:pt idx="16">
                  <c:v>1070.3</c:v>
                </c:pt>
                <c:pt idx="17">
                  <c:v>1070.54</c:v>
                </c:pt>
                <c:pt idx="18">
                  <c:v>1070</c:v>
                </c:pt>
                <c:pt idx="19">
                  <c:v>1070.9000000000001</c:v>
                </c:pt>
                <c:pt idx="20">
                  <c:v>1071.0999999999999</c:v>
                </c:pt>
                <c:pt idx="21">
                  <c:v>1069.68</c:v>
                </c:pt>
                <c:pt idx="22">
                  <c:v>1070.4000000000001</c:v>
                </c:pt>
                <c:pt idx="23">
                  <c:v>1070.8</c:v>
                </c:pt>
                <c:pt idx="24">
                  <c:v>1070.7</c:v>
                </c:pt>
                <c:pt idx="25">
                  <c:v>1070.4000000000001</c:v>
                </c:pt>
                <c:pt idx="26">
                  <c:v>1070.53</c:v>
                </c:pt>
                <c:pt idx="27">
                  <c:v>1070.43</c:v>
                </c:pt>
                <c:pt idx="28">
                  <c:v>1070.5999999999999</c:v>
                </c:pt>
                <c:pt idx="29">
                  <c:v>1070.68</c:v>
                </c:pt>
                <c:pt idx="30">
                  <c:v>1070.55</c:v>
                </c:pt>
                <c:pt idx="31">
                  <c:v>1070.5</c:v>
                </c:pt>
                <c:pt idx="32">
                  <c:v>1069.98</c:v>
                </c:pt>
                <c:pt idx="33">
                  <c:v>1070.58</c:v>
                </c:pt>
                <c:pt idx="34">
                  <c:v>1070.5</c:v>
                </c:pt>
                <c:pt idx="35">
                  <c:v>1070.3800000000001</c:v>
                </c:pt>
                <c:pt idx="36">
                  <c:v>1069.96</c:v>
                </c:pt>
                <c:pt idx="37">
                  <c:v>1070.3599999999999</c:v>
                </c:pt>
                <c:pt idx="38">
                  <c:v>1069.98</c:v>
                </c:pt>
                <c:pt idx="39">
                  <c:v>1070.03</c:v>
                </c:pt>
                <c:pt idx="40">
                  <c:v>1070.43</c:v>
                </c:pt>
                <c:pt idx="41">
                  <c:v>1070.4100000000001</c:v>
                </c:pt>
                <c:pt idx="42">
                  <c:v>1070.6600000000001</c:v>
                </c:pt>
                <c:pt idx="43">
                  <c:v>1070.93</c:v>
                </c:pt>
                <c:pt idx="44">
                  <c:v>1070.72</c:v>
                </c:pt>
                <c:pt idx="45">
                  <c:v>1071</c:v>
                </c:pt>
                <c:pt idx="46">
                  <c:v>1069.8800000000001</c:v>
                </c:pt>
                <c:pt idx="47">
                  <c:v>1070.5999999999999</c:v>
                </c:pt>
                <c:pt idx="48">
                  <c:v>1070.5</c:v>
                </c:pt>
                <c:pt idx="49">
                  <c:v>1070.43</c:v>
                </c:pt>
                <c:pt idx="50">
                  <c:v>1070.67</c:v>
                </c:pt>
                <c:pt idx="51">
                  <c:v>1070.04</c:v>
                </c:pt>
                <c:pt idx="52">
                  <c:v>1070.47</c:v>
                </c:pt>
                <c:pt idx="53">
                  <c:v>1070.78</c:v>
                </c:pt>
                <c:pt idx="54">
                  <c:v>1070.73</c:v>
                </c:pt>
                <c:pt idx="55">
                  <c:v>1070.8499999999999</c:v>
                </c:pt>
                <c:pt idx="56">
                  <c:v>1071.31</c:v>
                </c:pt>
                <c:pt idx="57">
                  <c:v>1070.8</c:v>
                </c:pt>
                <c:pt idx="58">
                  <c:v>1070.05</c:v>
                </c:pt>
                <c:pt idx="59">
                  <c:v>1070.23</c:v>
                </c:pt>
                <c:pt idx="60">
                  <c:v>1070.1199999999999</c:v>
                </c:pt>
                <c:pt idx="61">
                  <c:v>1070.49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099264"/>
        <c:axId val="127101184"/>
      </c:lineChart>
      <c:catAx>
        <c:axId val="127099264"/>
        <c:scaling>
          <c:orientation val="minMax"/>
        </c:scaling>
        <c:delete val="1"/>
        <c:axPos val="b"/>
        <c:majorTickMark val="out"/>
        <c:minorTickMark val="none"/>
        <c:tickLblPos val="nextTo"/>
        <c:crossAx val="127101184"/>
        <c:crosses val="autoZero"/>
        <c:auto val="0"/>
        <c:lblAlgn val="ctr"/>
        <c:lblOffset val="100"/>
        <c:noMultiLvlLbl val="1"/>
      </c:catAx>
      <c:valAx>
        <c:axId val="127101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7099264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[0]!G17_XValues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[0]!G17_Nominal</c:f>
              <c:numCache>
                <c:formatCode>General</c:formatCode>
                <c:ptCount val="62"/>
                <c:pt idx="0">
                  <c:v>1527.1</c:v>
                </c:pt>
                <c:pt idx="1">
                  <c:v>1527.1</c:v>
                </c:pt>
                <c:pt idx="2">
                  <c:v>1527.1</c:v>
                </c:pt>
                <c:pt idx="3">
                  <c:v>1527.1</c:v>
                </c:pt>
                <c:pt idx="4">
                  <c:v>1527.1</c:v>
                </c:pt>
                <c:pt idx="5">
                  <c:v>1527.1</c:v>
                </c:pt>
                <c:pt idx="6">
                  <c:v>1527.1</c:v>
                </c:pt>
                <c:pt idx="7">
                  <c:v>1527.1</c:v>
                </c:pt>
                <c:pt idx="8">
                  <c:v>1527.1</c:v>
                </c:pt>
                <c:pt idx="9">
                  <c:v>1527.1</c:v>
                </c:pt>
                <c:pt idx="10">
                  <c:v>1527.1</c:v>
                </c:pt>
                <c:pt idx="11">
                  <c:v>1527.1</c:v>
                </c:pt>
                <c:pt idx="12">
                  <c:v>1527.1</c:v>
                </c:pt>
                <c:pt idx="13">
                  <c:v>1527.1</c:v>
                </c:pt>
                <c:pt idx="14">
                  <c:v>1527.1</c:v>
                </c:pt>
                <c:pt idx="15">
                  <c:v>1527.1</c:v>
                </c:pt>
                <c:pt idx="16">
                  <c:v>1527.1</c:v>
                </c:pt>
                <c:pt idx="17">
                  <c:v>1527.1</c:v>
                </c:pt>
                <c:pt idx="18">
                  <c:v>1527.1</c:v>
                </c:pt>
                <c:pt idx="19">
                  <c:v>1527.1</c:v>
                </c:pt>
                <c:pt idx="20">
                  <c:v>1527.1</c:v>
                </c:pt>
                <c:pt idx="21">
                  <c:v>1527.1</c:v>
                </c:pt>
                <c:pt idx="22">
                  <c:v>1527.1</c:v>
                </c:pt>
                <c:pt idx="23">
                  <c:v>1527.1</c:v>
                </c:pt>
                <c:pt idx="24">
                  <c:v>1527.1</c:v>
                </c:pt>
                <c:pt idx="25">
                  <c:v>1527.1</c:v>
                </c:pt>
                <c:pt idx="26">
                  <c:v>1527.1</c:v>
                </c:pt>
                <c:pt idx="27">
                  <c:v>1527.1</c:v>
                </c:pt>
                <c:pt idx="28">
                  <c:v>1527.1</c:v>
                </c:pt>
                <c:pt idx="29">
                  <c:v>1527.1</c:v>
                </c:pt>
                <c:pt idx="30">
                  <c:v>1527.1</c:v>
                </c:pt>
                <c:pt idx="31">
                  <c:v>1527.1</c:v>
                </c:pt>
                <c:pt idx="32">
                  <c:v>1527.1</c:v>
                </c:pt>
                <c:pt idx="33">
                  <c:v>1527.1</c:v>
                </c:pt>
                <c:pt idx="34">
                  <c:v>1527.1</c:v>
                </c:pt>
                <c:pt idx="35">
                  <c:v>1527.1</c:v>
                </c:pt>
                <c:pt idx="36">
                  <c:v>1527.1</c:v>
                </c:pt>
                <c:pt idx="37">
                  <c:v>1527.1</c:v>
                </c:pt>
                <c:pt idx="38">
                  <c:v>1527.1</c:v>
                </c:pt>
                <c:pt idx="39">
                  <c:v>1527.1</c:v>
                </c:pt>
                <c:pt idx="40">
                  <c:v>1527.1</c:v>
                </c:pt>
                <c:pt idx="41">
                  <c:v>1527.1</c:v>
                </c:pt>
                <c:pt idx="42">
                  <c:v>1527.1</c:v>
                </c:pt>
                <c:pt idx="43">
                  <c:v>1527.1</c:v>
                </c:pt>
                <c:pt idx="44">
                  <c:v>1527.1</c:v>
                </c:pt>
                <c:pt idx="45">
                  <c:v>1527.1</c:v>
                </c:pt>
                <c:pt idx="46">
                  <c:v>1527.1</c:v>
                </c:pt>
                <c:pt idx="47">
                  <c:v>1527.1</c:v>
                </c:pt>
                <c:pt idx="48">
                  <c:v>1527.1</c:v>
                </c:pt>
                <c:pt idx="49">
                  <c:v>1527.1</c:v>
                </c:pt>
                <c:pt idx="50">
                  <c:v>1527.1</c:v>
                </c:pt>
                <c:pt idx="51">
                  <c:v>1527.1</c:v>
                </c:pt>
                <c:pt idx="52">
                  <c:v>1527.1</c:v>
                </c:pt>
                <c:pt idx="53">
                  <c:v>1527.1</c:v>
                </c:pt>
                <c:pt idx="54">
                  <c:v>1527.1</c:v>
                </c:pt>
                <c:pt idx="55">
                  <c:v>1527.1</c:v>
                </c:pt>
                <c:pt idx="56">
                  <c:v>1527.1</c:v>
                </c:pt>
                <c:pt idx="57">
                  <c:v>1527.1</c:v>
                </c:pt>
                <c:pt idx="58">
                  <c:v>1527.1</c:v>
                </c:pt>
                <c:pt idx="59">
                  <c:v>1527.1</c:v>
                </c:pt>
                <c:pt idx="60">
                  <c:v>1527.1</c:v>
                </c:pt>
                <c:pt idx="61">
                  <c:v>1527.1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[0]!G17_XValues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[0]!G17_Lie</c:f>
              <c:numCache>
                <c:formatCode>General</c:formatCode>
                <c:ptCount val="62"/>
                <c:pt idx="0">
                  <c:v>1523.1</c:v>
                </c:pt>
                <c:pt idx="1">
                  <c:v>1523.1</c:v>
                </c:pt>
                <c:pt idx="2">
                  <c:v>1523.1</c:v>
                </c:pt>
                <c:pt idx="3">
                  <c:v>1523.1</c:v>
                </c:pt>
                <c:pt idx="4">
                  <c:v>1523.1</c:v>
                </c:pt>
                <c:pt idx="5">
                  <c:v>1523.1</c:v>
                </c:pt>
                <c:pt idx="6">
                  <c:v>1523.1</c:v>
                </c:pt>
                <c:pt idx="7">
                  <c:v>1523.1</c:v>
                </c:pt>
                <c:pt idx="8">
                  <c:v>1523.1</c:v>
                </c:pt>
                <c:pt idx="9">
                  <c:v>1523.1</c:v>
                </c:pt>
                <c:pt idx="10">
                  <c:v>1523.1</c:v>
                </c:pt>
                <c:pt idx="11">
                  <c:v>1523.1</c:v>
                </c:pt>
                <c:pt idx="12">
                  <c:v>1523.1</c:v>
                </c:pt>
                <c:pt idx="13">
                  <c:v>1523.1</c:v>
                </c:pt>
                <c:pt idx="14">
                  <c:v>1523.1</c:v>
                </c:pt>
                <c:pt idx="15">
                  <c:v>1523.1</c:v>
                </c:pt>
                <c:pt idx="16">
                  <c:v>1523.1</c:v>
                </c:pt>
                <c:pt idx="17">
                  <c:v>1523.1</c:v>
                </c:pt>
                <c:pt idx="18">
                  <c:v>1523.1</c:v>
                </c:pt>
                <c:pt idx="19">
                  <c:v>1523.1</c:v>
                </c:pt>
                <c:pt idx="20">
                  <c:v>1523.1</c:v>
                </c:pt>
                <c:pt idx="21">
                  <c:v>1523.1</c:v>
                </c:pt>
                <c:pt idx="22">
                  <c:v>1523.1</c:v>
                </c:pt>
                <c:pt idx="23">
                  <c:v>1523.1</c:v>
                </c:pt>
                <c:pt idx="24">
                  <c:v>1523.1</c:v>
                </c:pt>
                <c:pt idx="25">
                  <c:v>1523.1</c:v>
                </c:pt>
                <c:pt idx="26">
                  <c:v>1523.1</c:v>
                </c:pt>
                <c:pt idx="27">
                  <c:v>1523.1</c:v>
                </c:pt>
                <c:pt idx="28">
                  <c:v>1523.1</c:v>
                </c:pt>
                <c:pt idx="29">
                  <c:v>1523.1</c:v>
                </c:pt>
                <c:pt idx="30">
                  <c:v>1523.1</c:v>
                </c:pt>
                <c:pt idx="31">
                  <c:v>1523.1</c:v>
                </c:pt>
                <c:pt idx="32">
                  <c:v>1523.1</c:v>
                </c:pt>
                <c:pt idx="33">
                  <c:v>1523.1</c:v>
                </c:pt>
                <c:pt idx="34">
                  <c:v>1523.1</c:v>
                </c:pt>
                <c:pt idx="35">
                  <c:v>1523.1</c:v>
                </c:pt>
                <c:pt idx="36">
                  <c:v>1523.1</c:v>
                </c:pt>
                <c:pt idx="37">
                  <c:v>1523.1</c:v>
                </c:pt>
                <c:pt idx="38">
                  <c:v>1523.1</c:v>
                </c:pt>
                <c:pt idx="39">
                  <c:v>1523.1</c:v>
                </c:pt>
                <c:pt idx="40">
                  <c:v>1523.1</c:v>
                </c:pt>
                <c:pt idx="41">
                  <c:v>1523.1</c:v>
                </c:pt>
                <c:pt idx="42">
                  <c:v>1523.1</c:v>
                </c:pt>
                <c:pt idx="43">
                  <c:v>1523.1</c:v>
                </c:pt>
                <c:pt idx="44">
                  <c:v>1523.1</c:v>
                </c:pt>
                <c:pt idx="45">
                  <c:v>1523.1</c:v>
                </c:pt>
                <c:pt idx="46">
                  <c:v>1523.1</c:v>
                </c:pt>
                <c:pt idx="47">
                  <c:v>1523.1</c:v>
                </c:pt>
                <c:pt idx="48">
                  <c:v>1523.1</c:v>
                </c:pt>
                <c:pt idx="49">
                  <c:v>1523.1</c:v>
                </c:pt>
                <c:pt idx="50">
                  <c:v>1523.1</c:v>
                </c:pt>
                <c:pt idx="51">
                  <c:v>1523.1</c:v>
                </c:pt>
                <c:pt idx="52">
                  <c:v>1523.1</c:v>
                </c:pt>
                <c:pt idx="53">
                  <c:v>1523.1</c:v>
                </c:pt>
                <c:pt idx="54">
                  <c:v>1523.1</c:v>
                </c:pt>
                <c:pt idx="55">
                  <c:v>1523.1</c:v>
                </c:pt>
                <c:pt idx="56">
                  <c:v>1523.1</c:v>
                </c:pt>
                <c:pt idx="57">
                  <c:v>1523.1</c:v>
                </c:pt>
                <c:pt idx="58">
                  <c:v>1523.1</c:v>
                </c:pt>
                <c:pt idx="59">
                  <c:v>1523.1</c:v>
                </c:pt>
                <c:pt idx="60">
                  <c:v>1523.1</c:v>
                </c:pt>
                <c:pt idx="61">
                  <c:v>1523.1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[0]!G17_XValues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[0]!G17_Lse</c:f>
              <c:numCache>
                <c:formatCode>General</c:formatCode>
                <c:ptCount val="62"/>
                <c:pt idx="0">
                  <c:v>1531.1</c:v>
                </c:pt>
                <c:pt idx="1">
                  <c:v>1531.1</c:v>
                </c:pt>
                <c:pt idx="2">
                  <c:v>1531.1</c:v>
                </c:pt>
                <c:pt idx="3">
                  <c:v>1531.1</c:v>
                </c:pt>
                <c:pt idx="4">
                  <c:v>1531.1</c:v>
                </c:pt>
                <c:pt idx="5">
                  <c:v>1531.1</c:v>
                </c:pt>
                <c:pt idx="6">
                  <c:v>1531.1</c:v>
                </c:pt>
                <c:pt idx="7">
                  <c:v>1531.1</c:v>
                </c:pt>
                <c:pt idx="8">
                  <c:v>1531.1</c:v>
                </c:pt>
                <c:pt idx="9">
                  <c:v>1531.1</c:v>
                </c:pt>
                <c:pt idx="10">
                  <c:v>1531.1</c:v>
                </c:pt>
                <c:pt idx="11">
                  <c:v>1531.1</c:v>
                </c:pt>
                <c:pt idx="12">
                  <c:v>1531.1</c:v>
                </c:pt>
                <c:pt idx="13">
                  <c:v>1531.1</c:v>
                </c:pt>
                <c:pt idx="14">
                  <c:v>1531.1</c:v>
                </c:pt>
                <c:pt idx="15">
                  <c:v>1531.1</c:v>
                </c:pt>
                <c:pt idx="16">
                  <c:v>1531.1</c:v>
                </c:pt>
                <c:pt idx="17">
                  <c:v>1531.1</c:v>
                </c:pt>
                <c:pt idx="18">
                  <c:v>1531.1</c:v>
                </c:pt>
                <c:pt idx="19">
                  <c:v>1531.1</c:v>
                </c:pt>
                <c:pt idx="20">
                  <c:v>1531.1</c:v>
                </c:pt>
                <c:pt idx="21">
                  <c:v>1531.1</c:v>
                </c:pt>
                <c:pt idx="22">
                  <c:v>1531.1</c:v>
                </c:pt>
                <c:pt idx="23">
                  <c:v>1531.1</c:v>
                </c:pt>
                <c:pt idx="24">
                  <c:v>1531.1</c:v>
                </c:pt>
                <c:pt idx="25">
                  <c:v>1531.1</c:v>
                </c:pt>
                <c:pt idx="26">
                  <c:v>1531.1</c:v>
                </c:pt>
                <c:pt idx="27">
                  <c:v>1531.1</c:v>
                </c:pt>
                <c:pt idx="28">
                  <c:v>1531.1</c:v>
                </c:pt>
                <c:pt idx="29">
                  <c:v>1531.1</c:v>
                </c:pt>
                <c:pt idx="30">
                  <c:v>1531.1</c:v>
                </c:pt>
                <c:pt idx="31">
                  <c:v>1531.1</c:v>
                </c:pt>
                <c:pt idx="32">
                  <c:v>1531.1</c:v>
                </c:pt>
                <c:pt idx="33">
                  <c:v>1531.1</c:v>
                </c:pt>
                <c:pt idx="34">
                  <c:v>1531.1</c:v>
                </c:pt>
                <c:pt idx="35">
                  <c:v>1531.1</c:v>
                </c:pt>
                <c:pt idx="36">
                  <c:v>1531.1</c:v>
                </c:pt>
                <c:pt idx="37">
                  <c:v>1531.1</c:v>
                </c:pt>
                <c:pt idx="38">
                  <c:v>1531.1</c:v>
                </c:pt>
                <c:pt idx="39">
                  <c:v>1531.1</c:v>
                </c:pt>
                <c:pt idx="40">
                  <c:v>1531.1</c:v>
                </c:pt>
                <c:pt idx="41">
                  <c:v>1531.1</c:v>
                </c:pt>
                <c:pt idx="42">
                  <c:v>1531.1</c:v>
                </c:pt>
                <c:pt idx="43">
                  <c:v>1531.1</c:v>
                </c:pt>
                <c:pt idx="44">
                  <c:v>1531.1</c:v>
                </c:pt>
                <c:pt idx="45">
                  <c:v>1531.1</c:v>
                </c:pt>
                <c:pt idx="46">
                  <c:v>1531.1</c:v>
                </c:pt>
                <c:pt idx="47">
                  <c:v>1531.1</c:v>
                </c:pt>
                <c:pt idx="48">
                  <c:v>1531.1</c:v>
                </c:pt>
                <c:pt idx="49">
                  <c:v>1531.1</c:v>
                </c:pt>
                <c:pt idx="50">
                  <c:v>1531.1</c:v>
                </c:pt>
                <c:pt idx="51">
                  <c:v>1531.1</c:v>
                </c:pt>
                <c:pt idx="52">
                  <c:v>1531.1</c:v>
                </c:pt>
                <c:pt idx="53">
                  <c:v>1531.1</c:v>
                </c:pt>
                <c:pt idx="54">
                  <c:v>1531.1</c:v>
                </c:pt>
                <c:pt idx="55">
                  <c:v>1531.1</c:v>
                </c:pt>
                <c:pt idx="56">
                  <c:v>1531.1</c:v>
                </c:pt>
                <c:pt idx="57">
                  <c:v>1531.1</c:v>
                </c:pt>
                <c:pt idx="58">
                  <c:v>1531.1</c:v>
                </c:pt>
                <c:pt idx="59">
                  <c:v>1531.1</c:v>
                </c:pt>
                <c:pt idx="60">
                  <c:v>1531.1</c:v>
                </c:pt>
                <c:pt idx="61">
                  <c:v>1531.1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[0]!G17_XValues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[0]!G17_Data</c:f>
              <c:numCache>
                <c:formatCode>General</c:formatCode>
                <c:ptCount val="62"/>
                <c:pt idx="0">
                  <c:v>1526.28</c:v>
                </c:pt>
                <c:pt idx="1">
                  <c:v>1526.9</c:v>
                </c:pt>
                <c:pt idx="2">
                  <c:v>1526.68</c:v>
                </c:pt>
                <c:pt idx="3">
                  <c:v>1526.7</c:v>
                </c:pt>
                <c:pt idx="4">
                  <c:v>1526.1</c:v>
                </c:pt>
                <c:pt idx="5">
                  <c:v>1526.8</c:v>
                </c:pt>
                <c:pt idx="6">
                  <c:v>1526.2</c:v>
                </c:pt>
                <c:pt idx="7">
                  <c:v>1526.9</c:v>
                </c:pt>
                <c:pt idx="8">
                  <c:v>1527</c:v>
                </c:pt>
                <c:pt idx="9">
                  <c:v>1526.75</c:v>
                </c:pt>
                <c:pt idx="10">
                  <c:v>1526.12</c:v>
                </c:pt>
                <c:pt idx="11">
                  <c:v>1527.03</c:v>
                </c:pt>
                <c:pt idx="12">
                  <c:v>1526.78</c:v>
                </c:pt>
                <c:pt idx="13">
                  <c:v>1526.68</c:v>
                </c:pt>
                <c:pt idx="14">
                  <c:v>1526.51</c:v>
                </c:pt>
                <c:pt idx="15">
                  <c:v>1526.57</c:v>
                </c:pt>
                <c:pt idx="16">
                  <c:v>1526.68</c:v>
                </c:pt>
                <c:pt idx="17">
                  <c:v>1526.49</c:v>
                </c:pt>
                <c:pt idx="18">
                  <c:v>1526.6</c:v>
                </c:pt>
                <c:pt idx="19">
                  <c:v>1526.6</c:v>
                </c:pt>
                <c:pt idx="20">
                  <c:v>1526.8</c:v>
                </c:pt>
                <c:pt idx="21">
                  <c:v>1526.76</c:v>
                </c:pt>
                <c:pt idx="22">
                  <c:v>1526.9</c:v>
                </c:pt>
                <c:pt idx="23">
                  <c:v>1526.7</c:v>
                </c:pt>
                <c:pt idx="24">
                  <c:v>1527.1</c:v>
                </c:pt>
                <c:pt idx="25">
                  <c:v>1526.52</c:v>
                </c:pt>
                <c:pt idx="26">
                  <c:v>1526.66</c:v>
                </c:pt>
                <c:pt idx="27">
                  <c:v>1526.15</c:v>
                </c:pt>
                <c:pt idx="28">
                  <c:v>1526.46</c:v>
                </c:pt>
                <c:pt idx="29">
                  <c:v>1526.44</c:v>
                </c:pt>
                <c:pt idx="30">
                  <c:v>1526.76</c:v>
                </c:pt>
                <c:pt idx="31">
                  <c:v>1526.2</c:v>
                </c:pt>
                <c:pt idx="32">
                  <c:v>1526.47</c:v>
                </c:pt>
                <c:pt idx="33">
                  <c:v>1526.61</c:v>
                </c:pt>
                <c:pt idx="34">
                  <c:v>1526.6</c:v>
                </c:pt>
                <c:pt idx="35">
                  <c:v>1526.76</c:v>
                </c:pt>
                <c:pt idx="36">
                  <c:v>1526.27</c:v>
                </c:pt>
                <c:pt idx="37">
                  <c:v>1526.49</c:v>
                </c:pt>
                <c:pt idx="38">
                  <c:v>1526.33</c:v>
                </c:pt>
                <c:pt idx="39">
                  <c:v>1526.48</c:v>
                </c:pt>
                <c:pt idx="40">
                  <c:v>1526.55</c:v>
                </c:pt>
                <c:pt idx="41">
                  <c:v>1527</c:v>
                </c:pt>
                <c:pt idx="42">
                  <c:v>1526.56</c:v>
                </c:pt>
                <c:pt idx="43">
                  <c:v>1527.02</c:v>
                </c:pt>
                <c:pt idx="44">
                  <c:v>1527.01</c:v>
                </c:pt>
                <c:pt idx="45">
                  <c:v>1526.68</c:v>
                </c:pt>
                <c:pt idx="46">
                  <c:v>1526.03</c:v>
                </c:pt>
                <c:pt idx="47">
                  <c:v>1526.91</c:v>
                </c:pt>
                <c:pt idx="48">
                  <c:v>1526.4</c:v>
                </c:pt>
                <c:pt idx="49">
                  <c:v>1526.92</c:v>
                </c:pt>
                <c:pt idx="50">
                  <c:v>1527</c:v>
                </c:pt>
                <c:pt idx="51">
                  <c:v>1526.37</c:v>
                </c:pt>
                <c:pt idx="52">
                  <c:v>1526.54</c:v>
                </c:pt>
                <c:pt idx="53">
                  <c:v>1526.36</c:v>
                </c:pt>
                <c:pt idx="54">
                  <c:v>1526.86</c:v>
                </c:pt>
                <c:pt idx="55">
                  <c:v>1526.75</c:v>
                </c:pt>
                <c:pt idx="56">
                  <c:v>1525.95</c:v>
                </c:pt>
                <c:pt idx="57">
                  <c:v>1526.62</c:v>
                </c:pt>
                <c:pt idx="58">
                  <c:v>1526.68</c:v>
                </c:pt>
                <c:pt idx="59">
                  <c:v>1526.59</c:v>
                </c:pt>
                <c:pt idx="60">
                  <c:v>1526.02</c:v>
                </c:pt>
                <c:pt idx="61">
                  <c:v>1526.58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40064"/>
        <c:axId val="127479808"/>
      </c:lineChart>
      <c:catAx>
        <c:axId val="127240064"/>
        <c:scaling>
          <c:orientation val="minMax"/>
        </c:scaling>
        <c:delete val="1"/>
        <c:axPos val="b"/>
        <c:majorTickMark val="out"/>
        <c:minorTickMark val="none"/>
        <c:tickLblPos val="nextTo"/>
        <c:crossAx val="127479808"/>
        <c:crosses val="autoZero"/>
        <c:auto val="0"/>
        <c:lblAlgn val="ctr"/>
        <c:lblOffset val="100"/>
        <c:noMultiLvlLbl val="1"/>
      </c:catAx>
      <c:valAx>
        <c:axId val="127479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7240064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[0]!G18_XValues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[0]!G18_Nominal</c:f>
              <c:numCache>
                <c:formatCode>General</c:formatCode>
                <c:ptCount val="62"/>
                <c:pt idx="0">
                  <c:v>620.4</c:v>
                </c:pt>
                <c:pt idx="1">
                  <c:v>620.4</c:v>
                </c:pt>
                <c:pt idx="2">
                  <c:v>620.4</c:v>
                </c:pt>
                <c:pt idx="3">
                  <c:v>620.4</c:v>
                </c:pt>
                <c:pt idx="4">
                  <c:v>620.4</c:v>
                </c:pt>
                <c:pt idx="5">
                  <c:v>620.4</c:v>
                </c:pt>
                <c:pt idx="6">
                  <c:v>620.4</c:v>
                </c:pt>
                <c:pt idx="7">
                  <c:v>620.4</c:v>
                </c:pt>
                <c:pt idx="8">
                  <c:v>620.4</c:v>
                </c:pt>
                <c:pt idx="9">
                  <c:v>620.4</c:v>
                </c:pt>
                <c:pt idx="10">
                  <c:v>620.4</c:v>
                </c:pt>
                <c:pt idx="11">
                  <c:v>620.4</c:v>
                </c:pt>
                <c:pt idx="12">
                  <c:v>620.4</c:v>
                </c:pt>
                <c:pt idx="13">
                  <c:v>620.4</c:v>
                </c:pt>
                <c:pt idx="14">
                  <c:v>620.4</c:v>
                </c:pt>
                <c:pt idx="15">
                  <c:v>620.4</c:v>
                </c:pt>
                <c:pt idx="16">
                  <c:v>620.4</c:v>
                </c:pt>
                <c:pt idx="17">
                  <c:v>620.4</c:v>
                </c:pt>
                <c:pt idx="18">
                  <c:v>620.4</c:v>
                </c:pt>
                <c:pt idx="19">
                  <c:v>620.4</c:v>
                </c:pt>
                <c:pt idx="20">
                  <c:v>620.4</c:v>
                </c:pt>
                <c:pt idx="21">
                  <c:v>620.4</c:v>
                </c:pt>
                <c:pt idx="22">
                  <c:v>620.4</c:v>
                </c:pt>
                <c:pt idx="23">
                  <c:v>620.4</c:v>
                </c:pt>
                <c:pt idx="24">
                  <c:v>620.4</c:v>
                </c:pt>
                <c:pt idx="25">
                  <c:v>620.4</c:v>
                </c:pt>
                <c:pt idx="26">
                  <c:v>620.4</c:v>
                </c:pt>
                <c:pt idx="27">
                  <c:v>620.4</c:v>
                </c:pt>
                <c:pt idx="28">
                  <c:v>620.4</c:v>
                </c:pt>
                <c:pt idx="29">
                  <c:v>620.4</c:v>
                </c:pt>
                <c:pt idx="30">
                  <c:v>620.4</c:v>
                </c:pt>
                <c:pt idx="31">
                  <c:v>620.4</c:v>
                </c:pt>
                <c:pt idx="32">
                  <c:v>620.4</c:v>
                </c:pt>
                <c:pt idx="33">
                  <c:v>620.4</c:v>
                </c:pt>
                <c:pt idx="34">
                  <c:v>620.4</c:v>
                </c:pt>
                <c:pt idx="35">
                  <c:v>620.4</c:v>
                </c:pt>
                <c:pt idx="36">
                  <c:v>620.4</c:v>
                </c:pt>
                <c:pt idx="37">
                  <c:v>620.4</c:v>
                </c:pt>
                <c:pt idx="38">
                  <c:v>620.4</c:v>
                </c:pt>
                <c:pt idx="39">
                  <c:v>620.4</c:v>
                </c:pt>
                <c:pt idx="40">
                  <c:v>620.4</c:v>
                </c:pt>
                <c:pt idx="41">
                  <c:v>620.4</c:v>
                </c:pt>
                <c:pt idx="42">
                  <c:v>620.4</c:v>
                </c:pt>
                <c:pt idx="43">
                  <c:v>620.4</c:v>
                </c:pt>
                <c:pt idx="44">
                  <c:v>620.4</c:v>
                </c:pt>
                <c:pt idx="45">
                  <c:v>620.4</c:v>
                </c:pt>
                <c:pt idx="46">
                  <c:v>620.4</c:v>
                </c:pt>
                <c:pt idx="47">
                  <c:v>620.4</c:v>
                </c:pt>
                <c:pt idx="48">
                  <c:v>620.4</c:v>
                </c:pt>
                <c:pt idx="49">
                  <c:v>620.4</c:v>
                </c:pt>
                <c:pt idx="50">
                  <c:v>620.4</c:v>
                </c:pt>
                <c:pt idx="51">
                  <c:v>620.4</c:v>
                </c:pt>
                <c:pt idx="52">
                  <c:v>620.4</c:v>
                </c:pt>
                <c:pt idx="53">
                  <c:v>620.4</c:v>
                </c:pt>
                <c:pt idx="54">
                  <c:v>620.4</c:v>
                </c:pt>
                <c:pt idx="55">
                  <c:v>620.4</c:v>
                </c:pt>
                <c:pt idx="56">
                  <c:v>620.4</c:v>
                </c:pt>
                <c:pt idx="57">
                  <c:v>620.4</c:v>
                </c:pt>
                <c:pt idx="58">
                  <c:v>620.4</c:v>
                </c:pt>
                <c:pt idx="59">
                  <c:v>620.4</c:v>
                </c:pt>
                <c:pt idx="60">
                  <c:v>620.4</c:v>
                </c:pt>
                <c:pt idx="61">
                  <c:v>620.4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[0]!G18_XValues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[0]!G18_Lie</c:f>
              <c:numCache>
                <c:formatCode>General</c:formatCode>
                <c:ptCount val="62"/>
                <c:pt idx="0">
                  <c:v>616.4</c:v>
                </c:pt>
                <c:pt idx="1">
                  <c:v>616.4</c:v>
                </c:pt>
                <c:pt idx="2">
                  <c:v>616.4</c:v>
                </c:pt>
                <c:pt idx="3">
                  <c:v>616.4</c:v>
                </c:pt>
                <c:pt idx="4">
                  <c:v>616.4</c:v>
                </c:pt>
                <c:pt idx="5">
                  <c:v>616.4</c:v>
                </c:pt>
                <c:pt idx="6">
                  <c:v>616.4</c:v>
                </c:pt>
                <c:pt idx="7">
                  <c:v>616.4</c:v>
                </c:pt>
                <c:pt idx="8">
                  <c:v>616.4</c:v>
                </c:pt>
                <c:pt idx="9">
                  <c:v>616.4</c:v>
                </c:pt>
                <c:pt idx="10">
                  <c:v>616.4</c:v>
                </c:pt>
                <c:pt idx="11">
                  <c:v>616.4</c:v>
                </c:pt>
                <c:pt idx="12">
                  <c:v>616.4</c:v>
                </c:pt>
                <c:pt idx="13">
                  <c:v>616.4</c:v>
                </c:pt>
                <c:pt idx="14">
                  <c:v>616.4</c:v>
                </c:pt>
                <c:pt idx="15">
                  <c:v>616.4</c:v>
                </c:pt>
                <c:pt idx="16">
                  <c:v>616.4</c:v>
                </c:pt>
                <c:pt idx="17">
                  <c:v>616.4</c:v>
                </c:pt>
                <c:pt idx="18">
                  <c:v>616.4</c:v>
                </c:pt>
                <c:pt idx="19">
                  <c:v>616.4</c:v>
                </c:pt>
                <c:pt idx="20">
                  <c:v>616.4</c:v>
                </c:pt>
                <c:pt idx="21">
                  <c:v>616.4</c:v>
                </c:pt>
                <c:pt idx="22">
                  <c:v>616.4</c:v>
                </c:pt>
                <c:pt idx="23">
                  <c:v>616.4</c:v>
                </c:pt>
                <c:pt idx="24">
                  <c:v>616.4</c:v>
                </c:pt>
                <c:pt idx="25">
                  <c:v>616.4</c:v>
                </c:pt>
                <c:pt idx="26">
                  <c:v>616.4</c:v>
                </c:pt>
                <c:pt idx="27">
                  <c:v>616.4</c:v>
                </c:pt>
                <c:pt idx="28">
                  <c:v>616.4</c:v>
                </c:pt>
                <c:pt idx="29">
                  <c:v>616.4</c:v>
                </c:pt>
                <c:pt idx="30">
                  <c:v>616.4</c:v>
                </c:pt>
                <c:pt idx="31">
                  <c:v>616.4</c:v>
                </c:pt>
                <c:pt idx="32">
                  <c:v>616.4</c:v>
                </c:pt>
                <c:pt idx="33">
                  <c:v>616.4</c:v>
                </c:pt>
                <c:pt idx="34">
                  <c:v>616.4</c:v>
                </c:pt>
                <c:pt idx="35">
                  <c:v>616.4</c:v>
                </c:pt>
                <c:pt idx="36">
                  <c:v>616.4</c:v>
                </c:pt>
                <c:pt idx="37">
                  <c:v>616.4</c:v>
                </c:pt>
                <c:pt idx="38">
                  <c:v>616.4</c:v>
                </c:pt>
                <c:pt idx="39">
                  <c:v>616.4</c:v>
                </c:pt>
                <c:pt idx="40">
                  <c:v>616.4</c:v>
                </c:pt>
                <c:pt idx="41">
                  <c:v>616.4</c:v>
                </c:pt>
                <c:pt idx="42">
                  <c:v>616.4</c:v>
                </c:pt>
                <c:pt idx="43">
                  <c:v>616.4</c:v>
                </c:pt>
                <c:pt idx="44">
                  <c:v>616.4</c:v>
                </c:pt>
                <c:pt idx="45">
                  <c:v>616.4</c:v>
                </c:pt>
                <c:pt idx="46">
                  <c:v>616.4</c:v>
                </c:pt>
                <c:pt idx="47">
                  <c:v>616.4</c:v>
                </c:pt>
                <c:pt idx="48">
                  <c:v>616.4</c:v>
                </c:pt>
                <c:pt idx="49">
                  <c:v>616.4</c:v>
                </c:pt>
                <c:pt idx="50">
                  <c:v>616.4</c:v>
                </c:pt>
                <c:pt idx="51">
                  <c:v>616.4</c:v>
                </c:pt>
                <c:pt idx="52">
                  <c:v>616.4</c:v>
                </c:pt>
                <c:pt idx="53">
                  <c:v>616.4</c:v>
                </c:pt>
                <c:pt idx="54">
                  <c:v>616.4</c:v>
                </c:pt>
                <c:pt idx="55">
                  <c:v>616.4</c:v>
                </c:pt>
                <c:pt idx="56">
                  <c:v>616.4</c:v>
                </c:pt>
                <c:pt idx="57">
                  <c:v>616.4</c:v>
                </c:pt>
                <c:pt idx="58">
                  <c:v>616.4</c:v>
                </c:pt>
                <c:pt idx="59">
                  <c:v>616.4</c:v>
                </c:pt>
                <c:pt idx="60">
                  <c:v>616.4</c:v>
                </c:pt>
                <c:pt idx="61">
                  <c:v>616.4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[0]!G18_XValues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[0]!G18_Lse</c:f>
              <c:numCache>
                <c:formatCode>General</c:formatCode>
                <c:ptCount val="62"/>
                <c:pt idx="0">
                  <c:v>624.4</c:v>
                </c:pt>
                <c:pt idx="1">
                  <c:v>624.4</c:v>
                </c:pt>
                <c:pt idx="2">
                  <c:v>624.4</c:v>
                </c:pt>
                <c:pt idx="3">
                  <c:v>624.4</c:v>
                </c:pt>
                <c:pt idx="4">
                  <c:v>624.4</c:v>
                </c:pt>
                <c:pt idx="5">
                  <c:v>624.4</c:v>
                </c:pt>
                <c:pt idx="6">
                  <c:v>624.4</c:v>
                </c:pt>
                <c:pt idx="7">
                  <c:v>624.4</c:v>
                </c:pt>
                <c:pt idx="8">
                  <c:v>624.4</c:v>
                </c:pt>
                <c:pt idx="9">
                  <c:v>624.4</c:v>
                </c:pt>
                <c:pt idx="10">
                  <c:v>624.4</c:v>
                </c:pt>
                <c:pt idx="11">
                  <c:v>624.4</c:v>
                </c:pt>
                <c:pt idx="12">
                  <c:v>624.4</c:v>
                </c:pt>
                <c:pt idx="13">
                  <c:v>624.4</c:v>
                </c:pt>
                <c:pt idx="14">
                  <c:v>624.4</c:v>
                </c:pt>
                <c:pt idx="15">
                  <c:v>624.4</c:v>
                </c:pt>
                <c:pt idx="16">
                  <c:v>624.4</c:v>
                </c:pt>
                <c:pt idx="17">
                  <c:v>624.4</c:v>
                </c:pt>
                <c:pt idx="18">
                  <c:v>624.4</c:v>
                </c:pt>
                <c:pt idx="19">
                  <c:v>624.4</c:v>
                </c:pt>
                <c:pt idx="20">
                  <c:v>624.4</c:v>
                </c:pt>
                <c:pt idx="21">
                  <c:v>624.4</c:v>
                </c:pt>
                <c:pt idx="22">
                  <c:v>624.4</c:v>
                </c:pt>
                <c:pt idx="23">
                  <c:v>624.4</c:v>
                </c:pt>
                <c:pt idx="24">
                  <c:v>624.4</c:v>
                </c:pt>
                <c:pt idx="25">
                  <c:v>624.4</c:v>
                </c:pt>
                <c:pt idx="26">
                  <c:v>624.4</c:v>
                </c:pt>
                <c:pt idx="27">
                  <c:v>624.4</c:v>
                </c:pt>
                <c:pt idx="28">
                  <c:v>624.4</c:v>
                </c:pt>
                <c:pt idx="29">
                  <c:v>624.4</c:v>
                </c:pt>
                <c:pt idx="30">
                  <c:v>624.4</c:v>
                </c:pt>
                <c:pt idx="31">
                  <c:v>624.4</c:v>
                </c:pt>
                <c:pt idx="32">
                  <c:v>624.4</c:v>
                </c:pt>
                <c:pt idx="33">
                  <c:v>624.4</c:v>
                </c:pt>
                <c:pt idx="34">
                  <c:v>624.4</c:v>
                </c:pt>
                <c:pt idx="35">
                  <c:v>624.4</c:v>
                </c:pt>
                <c:pt idx="36">
                  <c:v>624.4</c:v>
                </c:pt>
                <c:pt idx="37">
                  <c:v>624.4</c:v>
                </c:pt>
                <c:pt idx="38">
                  <c:v>624.4</c:v>
                </c:pt>
                <c:pt idx="39">
                  <c:v>624.4</c:v>
                </c:pt>
                <c:pt idx="40">
                  <c:v>624.4</c:v>
                </c:pt>
                <c:pt idx="41">
                  <c:v>624.4</c:v>
                </c:pt>
                <c:pt idx="42">
                  <c:v>624.4</c:v>
                </c:pt>
                <c:pt idx="43">
                  <c:v>624.4</c:v>
                </c:pt>
                <c:pt idx="44">
                  <c:v>624.4</c:v>
                </c:pt>
                <c:pt idx="45">
                  <c:v>624.4</c:v>
                </c:pt>
                <c:pt idx="46">
                  <c:v>624.4</c:v>
                </c:pt>
                <c:pt idx="47">
                  <c:v>624.4</c:v>
                </c:pt>
                <c:pt idx="48">
                  <c:v>624.4</c:v>
                </c:pt>
                <c:pt idx="49">
                  <c:v>624.4</c:v>
                </c:pt>
                <c:pt idx="50">
                  <c:v>624.4</c:v>
                </c:pt>
                <c:pt idx="51">
                  <c:v>624.4</c:v>
                </c:pt>
                <c:pt idx="52">
                  <c:v>624.4</c:v>
                </c:pt>
                <c:pt idx="53">
                  <c:v>624.4</c:v>
                </c:pt>
                <c:pt idx="54">
                  <c:v>624.4</c:v>
                </c:pt>
                <c:pt idx="55">
                  <c:v>624.4</c:v>
                </c:pt>
                <c:pt idx="56">
                  <c:v>624.4</c:v>
                </c:pt>
                <c:pt idx="57">
                  <c:v>624.4</c:v>
                </c:pt>
                <c:pt idx="58">
                  <c:v>624.4</c:v>
                </c:pt>
                <c:pt idx="59">
                  <c:v>624.4</c:v>
                </c:pt>
                <c:pt idx="60">
                  <c:v>624.4</c:v>
                </c:pt>
                <c:pt idx="61">
                  <c:v>624.4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[0]!G18_XValues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[0]!G18_Data</c:f>
              <c:numCache>
                <c:formatCode>General</c:formatCode>
                <c:ptCount val="62"/>
                <c:pt idx="0">
                  <c:v>618.94000000000005</c:v>
                </c:pt>
                <c:pt idx="1">
                  <c:v>620.28</c:v>
                </c:pt>
                <c:pt idx="2">
                  <c:v>618.80999999999995</c:v>
                </c:pt>
                <c:pt idx="3">
                  <c:v>618.79999999999995</c:v>
                </c:pt>
                <c:pt idx="4">
                  <c:v>620.20000000000005</c:v>
                </c:pt>
                <c:pt idx="5">
                  <c:v>619.79999999999995</c:v>
                </c:pt>
                <c:pt idx="6">
                  <c:v>618.1</c:v>
                </c:pt>
                <c:pt idx="7">
                  <c:v>619.79999999999995</c:v>
                </c:pt>
                <c:pt idx="8">
                  <c:v>618.6</c:v>
                </c:pt>
                <c:pt idx="9">
                  <c:v>618.33000000000004</c:v>
                </c:pt>
                <c:pt idx="10">
                  <c:v>620.28</c:v>
                </c:pt>
                <c:pt idx="11">
                  <c:v>620.47</c:v>
                </c:pt>
                <c:pt idx="12">
                  <c:v>618.78</c:v>
                </c:pt>
                <c:pt idx="13">
                  <c:v>618.83000000000004</c:v>
                </c:pt>
                <c:pt idx="14">
                  <c:v>620.20000000000005</c:v>
                </c:pt>
                <c:pt idx="15">
                  <c:v>620.70000000000005</c:v>
                </c:pt>
                <c:pt idx="16">
                  <c:v>620.97</c:v>
                </c:pt>
                <c:pt idx="17">
                  <c:v>618.36</c:v>
                </c:pt>
                <c:pt idx="18">
                  <c:v>619.20000000000005</c:v>
                </c:pt>
                <c:pt idx="19">
                  <c:v>620.29999999999995</c:v>
                </c:pt>
                <c:pt idx="20">
                  <c:v>621.70000000000005</c:v>
                </c:pt>
                <c:pt idx="21">
                  <c:v>617.66999999999996</c:v>
                </c:pt>
                <c:pt idx="22">
                  <c:v>620.70000000000005</c:v>
                </c:pt>
                <c:pt idx="23">
                  <c:v>620.1</c:v>
                </c:pt>
                <c:pt idx="24">
                  <c:v>619.29999999999995</c:v>
                </c:pt>
                <c:pt idx="25">
                  <c:v>621</c:v>
                </c:pt>
                <c:pt idx="26">
                  <c:v>620.05999999999995</c:v>
                </c:pt>
                <c:pt idx="27">
                  <c:v>619.28</c:v>
                </c:pt>
                <c:pt idx="28">
                  <c:v>621.36</c:v>
                </c:pt>
                <c:pt idx="29">
                  <c:v>620.65</c:v>
                </c:pt>
                <c:pt idx="30">
                  <c:v>620.78</c:v>
                </c:pt>
                <c:pt idx="31">
                  <c:v>620.20000000000005</c:v>
                </c:pt>
                <c:pt idx="32">
                  <c:v>620.17999999999995</c:v>
                </c:pt>
                <c:pt idx="33">
                  <c:v>619.99</c:v>
                </c:pt>
                <c:pt idx="34">
                  <c:v>619.9</c:v>
                </c:pt>
                <c:pt idx="35">
                  <c:v>620.65</c:v>
                </c:pt>
                <c:pt idx="36">
                  <c:v>619.91</c:v>
                </c:pt>
                <c:pt idx="37">
                  <c:v>620.02</c:v>
                </c:pt>
                <c:pt idx="38">
                  <c:v>619.42999999999995</c:v>
                </c:pt>
                <c:pt idx="39">
                  <c:v>619.48</c:v>
                </c:pt>
                <c:pt idx="40">
                  <c:v>619.54</c:v>
                </c:pt>
                <c:pt idx="41">
                  <c:v>618.47</c:v>
                </c:pt>
                <c:pt idx="42">
                  <c:v>619.36</c:v>
                </c:pt>
                <c:pt idx="43">
                  <c:v>619.27</c:v>
                </c:pt>
                <c:pt idx="44">
                  <c:v>620.45000000000005</c:v>
                </c:pt>
                <c:pt idx="45">
                  <c:v>619.14</c:v>
                </c:pt>
                <c:pt idx="46">
                  <c:v>619.54</c:v>
                </c:pt>
                <c:pt idx="47">
                  <c:v>619.87</c:v>
                </c:pt>
                <c:pt idx="48">
                  <c:v>620.42999999999995</c:v>
                </c:pt>
                <c:pt idx="49">
                  <c:v>619.73</c:v>
                </c:pt>
                <c:pt idx="50">
                  <c:v>618.29999999999995</c:v>
                </c:pt>
                <c:pt idx="51">
                  <c:v>619.83000000000004</c:v>
                </c:pt>
                <c:pt idx="52">
                  <c:v>619.79999999999995</c:v>
                </c:pt>
                <c:pt idx="53">
                  <c:v>619.91</c:v>
                </c:pt>
                <c:pt idx="54">
                  <c:v>619.22</c:v>
                </c:pt>
                <c:pt idx="55">
                  <c:v>620.19000000000005</c:v>
                </c:pt>
                <c:pt idx="56">
                  <c:v>620.6</c:v>
                </c:pt>
                <c:pt idx="57">
                  <c:v>619.84</c:v>
                </c:pt>
                <c:pt idx="58">
                  <c:v>618.67999999999995</c:v>
                </c:pt>
                <c:pt idx="59">
                  <c:v>618.69000000000005</c:v>
                </c:pt>
                <c:pt idx="60">
                  <c:v>619.38</c:v>
                </c:pt>
                <c:pt idx="61">
                  <c:v>620.45000000000005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528320"/>
        <c:axId val="127743488"/>
      </c:lineChart>
      <c:catAx>
        <c:axId val="127528320"/>
        <c:scaling>
          <c:orientation val="minMax"/>
        </c:scaling>
        <c:delete val="1"/>
        <c:axPos val="b"/>
        <c:majorTickMark val="out"/>
        <c:minorTickMark val="none"/>
        <c:tickLblPos val="nextTo"/>
        <c:crossAx val="127743488"/>
        <c:crosses val="autoZero"/>
        <c:auto val="0"/>
        <c:lblAlgn val="ctr"/>
        <c:lblOffset val="100"/>
        <c:noMultiLvlLbl val="1"/>
      </c:catAx>
      <c:valAx>
        <c:axId val="127743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7528320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[0]!G19_XValues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[0]!G19_Nominal</c:f>
              <c:numCache>
                <c:formatCode>General</c:formatCode>
                <c:ptCount val="62"/>
                <c:pt idx="0">
                  <c:v>918</c:v>
                </c:pt>
                <c:pt idx="1">
                  <c:v>918</c:v>
                </c:pt>
                <c:pt idx="2">
                  <c:v>918</c:v>
                </c:pt>
                <c:pt idx="3">
                  <c:v>918</c:v>
                </c:pt>
                <c:pt idx="4">
                  <c:v>918</c:v>
                </c:pt>
                <c:pt idx="5">
                  <c:v>918</c:v>
                </c:pt>
                <c:pt idx="6">
                  <c:v>918</c:v>
                </c:pt>
                <c:pt idx="7">
                  <c:v>918</c:v>
                </c:pt>
                <c:pt idx="8">
                  <c:v>918</c:v>
                </c:pt>
                <c:pt idx="9">
                  <c:v>918</c:v>
                </c:pt>
                <c:pt idx="10">
                  <c:v>918</c:v>
                </c:pt>
                <c:pt idx="11">
                  <c:v>918</c:v>
                </c:pt>
                <c:pt idx="12">
                  <c:v>918</c:v>
                </c:pt>
                <c:pt idx="13">
                  <c:v>918</c:v>
                </c:pt>
                <c:pt idx="14">
                  <c:v>918</c:v>
                </c:pt>
                <c:pt idx="15">
                  <c:v>918</c:v>
                </c:pt>
                <c:pt idx="16">
                  <c:v>918</c:v>
                </c:pt>
                <c:pt idx="17">
                  <c:v>918</c:v>
                </c:pt>
                <c:pt idx="18">
                  <c:v>918</c:v>
                </c:pt>
                <c:pt idx="19">
                  <c:v>918</c:v>
                </c:pt>
                <c:pt idx="20">
                  <c:v>918</c:v>
                </c:pt>
                <c:pt idx="21">
                  <c:v>918</c:v>
                </c:pt>
                <c:pt idx="22">
                  <c:v>918</c:v>
                </c:pt>
                <c:pt idx="23">
                  <c:v>918</c:v>
                </c:pt>
                <c:pt idx="24">
                  <c:v>918</c:v>
                </c:pt>
                <c:pt idx="25">
                  <c:v>918</c:v>
                </c:pt>
                <c:pt idx="26">
                  <c:v>918</c:v>
                </c:pt>
                <c:pt idx="27">
                  <c:v>918</c:v>
                </c:pt>
                <c:pt idx="28">
                  <c:v>918</c:v>
                </c:pt>
                <c:pt idx="29">
                  <c:v>918</c:v>
                </c:pt>
                <c:pt idx="30">
                  <c:v>918</c:v>
                </c:pt>
                <c:pt idx="31">
                  <c:v>918</c:v>
                </c:pt>
                <c:pt idx="32">
                  <c:v>918</c:v>
                </c:pt>
                <c:pt idx="33">
                  <c:v>918</c:v>
                </c:pt>
                <c:pt idx="34">
                  <c:v>918</c:v>
                </c:pt>
                <c:pt idx="35">
                  <c:v>918</c:v>
                </c:pt>
                <c:pt idx="36">
                  <c:v>918</c:v>
                </c:pt>
                <c:pt idx="37">
                  <c:v>918</c:v>
                </c:pt>
                <c:pt idx="38">
                  <c:v>918</c:v>
                </c:pt>
                <c:pt idx="39">
                  <c:v>918</c:v>
                </c:pt>
                <c:pt idx="40">
                  <c:v>918</c:v>
                </c:pt>
                <c:pt idx="41">
                  <c:v>918</c:v>
                </c:pt>
                <c:pt idx="42">
                  <c:v>918</c:v>
                </c:pt>
                <c:pt idx="43">
                  <c:v>918</c:v>
                </c:pt>
                <c:pt idx="44">
                  <c:v>918</c:v>
                </c:pt>
                <c:pt idx="45">
                  <c:v>918</c:v>
                </c:pt>
                <c:pt idx="46">
                  <c:v>918</c:v>
                </c:pt>
                <c:pt idx="47">
                  <c:v>918</c:v>
                </c:pt>
                <c:pt idx="48">
                  <c:v>918</c:v>
                </c:pt>
                <c:pt idx="49">
                  <c:v>918</c:v>
                </c:pt>
                <c:pt idx="50">
                  <c:v>918</c:v>
                </c:pt>
                <c:pt idx="51">
                  <c:v>918</c:v>
                </c:pt>
                <c:pt idx="52">
                  <c:v>918</c:v>
                </c:pt>
                <c:pt idx="53">
                  <c:v>918</c:v>
                </c:pt>
                <c:pt idx="54">
                  <c:v>918</c:v>
                </c:pt>
                <c:pt idx="55">
                  <c:v>918</c:v>
                </c:pt>
                <c:pt idx="56">
                  <c:v>918</c:v>
                </c:pt>
                <c:pt idx="57">
                  <c:v>918</c:v>
                </c:pt>
                <c:pt idx="58">
                  <c:v>918</c:v>
                </c:pt>
                <c:pt idx="59">
                  <c:v>918</c:v>
                </c:pt>
                <c:pt idx="60">
                  <c:v>918</c:v>
                </c:pt>
                <c:pt idx="61">
                  <c:v>918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[0]!G19_XValues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[0]!G19_Lie</c:f>
              <c:numCache>
                <c:formatCode>General</c:formatCode>
                <c:ptCount val="62"/>
                <c:pt idx="0">
                  <c:v>914</c:v>
                </c:pt>
                <c:pt idx="1">
                  <c:v>914</c:v>
                </c:pt>
                <c:pt idx="2">
                  <c:v>914</c:v>
                </c:pt>
                <c:pt idx="3">
                  <c:v>914</c:v>
                </c:pt>
                <c:pt idx="4">
                  <c:v>914</c:v>
                </c:pt>
                <c:pt idx="5">
                  <c:v>914</c:v>
                </c:pt>
                <c:pt idx="6">
                  <c:v>914</c:v>
                </c:pt>
                <c:pt idx="7">
                  <c:v>914</c:v>
                </c:pt>
                <c:pt idx="8">
                  <c:v>914</c:v>
                </c:pt>
                <c:pt idx="9">
                  <c:v>914</c:v>
                </c:pt>
                <c:pt idx="10">
                  <c:v>914</c:v>
                </c:pt>
                <c:pt idx="11">
                  <c:v>914</c:v>
                </c:pt>
                <c:pt idx="12">
                  <c:v>914</c:v>
                </c:pt>
                <c:pt idx="13">
                  <c:v>914</c:v>
                </c:pt>
                <c:pt idx="14">
                  <c:v>914</c:v>
                </c:pt>
                <c:pt idx="15">
                  <c:v>914</c:v>
                </c:pt>
                <c:pt idx="16">
                  <c:v>914</c:v>
                </c:pt>
                <c:pt idx="17">
                  <c:v>914</c:v>
                </c:pt>
                <c:pt idx="18">
                  <c:v>914</c:v>
                </c:pt>
                <c:pt idx="19">
                  <c:v>914</c:v>
                </c:pt>
                <c:pt idx="20">
                  <c:v>914</c:v>
                </c:pt>
                <c:pt idx="21">
                  <c:v>914</c:v>
                </c:pt>
                <c:pt idx="22">
                  <c:v>914</c:v>
                </c:pt>
                <c:pt idx="23">
                  <c:v>914</c:v>
                </c:pt>
                <c:pt idx="24">
                  <c:v>914</c:v>
                </c:pt>
                <c:pt idx="25">
                  <c:v>914</c:v>
                </c:pt>
                <c:pt idx="26">
                  <c:v>914</c:v>
                </c:pt>
                <c:pt idx="27">
                  <c:v>914</c:v>
                </c:pt>
                <c:pt idx="28">
                  <c:v>914</c:v>
                </c:pt>
                <c:pt idx="29">
                  <c:v>914</c:v>
                </c:pt>
                <c:pt idx="30">
                  <c:v>914</c:v>
                </c:pt>
                <c:pt idx="31">
                  <c:v>914</c:v>
                </c:pt>
                <c:pt idx="32">
                  <c:v>914</c:v>
                </c:pt>
                <c:pt idx="33">
                  <c:v>914</c:v>
                </c:pt>
                <c:pt idx="34">
                  <c:v>914</c:v>
                </c:pt>
                <c:pt idx="35">
                  <c:v>914</c:v>
                </c:pt>
                <c:pt idx="36">
                  <c:v>914</c:v>
                </c:pt>
                <c:pt idx="37">
                  <c:v>914</c:v>
                </c:pt>
                <c:pt idx="38">
                  <c:v>914</c:v>
                </c:pt>
                <c:pt idx="39">
                  <c:v>914</c:v>
                </c:pt>
                <c:pt idx="40">
                  <c:v>914</c:v>
                </c:pt>
                <c:pt idx="41">
                  <c:v>914</c:v>
                </c:pt>
                <c:pt idx="42">
                  <c:v>914</c:v>
                </c:pt>
                <c:pt idx="43">
                  <c:v>914</c:v>
                </c:pt>
                <c:pt idx="44">
                  <c:v>914</c:v>
                </c:pt>
                <c:pt idx="45">
                  <c:v>914</c:v>
                </c:pt>
                <c:pt idx="46">
                  <c:v>914</c:v>
                </c:pt>
                <c:pt idx="47">
                  <c:v>914</c:v>
                </c:pt>
                <c:pt idx="48">
                  <c:v>914</c:v>
                </c:pt>
                <c:pt idx="49">
                  <c:v>914</c:v>
                </c:pt>
                <c:pt idx="50">
                  <c:v>914</c:v>
                </c:pt>
                <c:pt idx="51">
                  <c:v>914</c:v>
                </c:pt>
                <c:pt idx="52">
                  <c:v>914</c:v>
                </c:pt>
                <c:pt idx="53">
                  <c:v>914</c:v>
                </c:pt>
                <c:pt idx="54">
                  <c:v>914</c:v>
                </c:pt>
                <c:pt idx="55">
                  <c:v>914</c:v>
                </c:pt>
                <c:pt idx="56">
                  <c:v>914</c:v>
                </c:pt>
                <c:pt idx="57">
                  <c:v>914</c:v>
                </c:pt>
                <c:pt idx="58">
                  <c:v>914</c:v>
                </c:pt>
                <c:pt idx="59">
                  <c:v>914</c:v>
                </c:pt>
                <c:pt idx="60">
                  <c:v>914</c:v>
                </c:pt>
                <c:pt idx="61">
                  <c:v>914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[0]!G19_XValues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[0]!G19_Lse</c:f>
              <c:numCache>
                <c:formatCode>General</c:formatCode>
                <c:ptCount val="62"/>
                <c:pt idx="0">
                  <c:v>922</c:v>
                </c:pt>
                <c:pt idx="1">
                  <c:v>922</c:v>
                </c:pt>
                <c:pt idx="2">
                  <c:v>922</c:v>
                </c:pt>
                <c:pt idx="3">
                  <c:v>922</c:v>
                </c:pt>
                <c:pt idx="4">
                  <c:v>922</c:v>
                </c:pt>
                <c:pt idx="5">
                  <c:v>922</c:v>
                </c:pt>
                <c:pt idx="6">
                  <c:v>922</c:v>
                </c:pt>
                <c:pt idx="7">
                  <c:v>922</c:v>
                </c:pt>
                <c:pt idx="8">
                  <c:v>922</c:v>
                </c:pt>
                <c:pt idx="9">
                  <c:v>922</c:v>
                </c:pt>
                <c:pt idx="10">
                  <c:v>922</c:v>
                </c:pt>
                <c:pt idx="11">
                  <c:v>922</c:v>
                </c:pt>
                <c:pt idx="12">
                  <c:v>922</c:v>
                </c:pt>
                <c:pt idx="13">
                  <c:v>922</c:v>
                </c:pt>
                <c:pt idx="14">
                  <c:v>922</c:v>
                </c:pt>
                <c:pt idx="15">
                  <c:v>922</c:v>
                </c:pt>
                <c:pt idx="16">
                  <c:v>922</c:v>
                </c:pt>
                <c:pt idx="17">
                  <c:v>922</c:v>
                </c:pt>
                <c:pt idx="18">
                  <c:v>922</c:v>
                </c:pt>
                <c:pt idx="19">
                  <c:v>922</c:v>
                </c:pt>
                <c:pt idx="20">
                  <c:v>922</c:v>
                </c:pt>
                <c:pt idx="21">
                  <c:v>922</c:v>
                </c:pt>
                <c:pt idx="22">
                  <c:v>922</c:v>
                </c:pt>
                <c:pt idx="23">
                  <c:v>922</c:v>
                </c:pt>
                <c:pt idx="24">
                  <c:v>922</c:v>
                </c:pt>
                <c:pt idx="25">
                  <c:v>922</c:v>
                </c:pt>
                <c:pt idx="26">
                  <c:v>922</c:v>
                </c:pt>
                <c:pt idx="27">
                  <c:v>922</c:v>
                </c:pt>
                <c:pt idx="28">
                  <c:v>922</c:v>
                </c:pt>
                <c:pt idx="29">
                  <c:v>922</c:v>
                </c:pt>
                <c:pt idx="30">
                  <c:v>922</c:v>
                </c:pt>
                <c:pt idx="31">
                  <c:v>922</c:v>
                </c:pt>
                <c:pt idx="32">
                  <c:v>922</c:v>
                </c:pt>
                <c:pt idx="33">
                  <c:v>922</c:v>
                </c:pt>
                <c:pt idx="34">
                  <c:v>922</c:v>
                </c:pt>
                <c:pt idx="35">
                  <c:v>922</c:v>
                </c:pt>
                <c:pt idx="36">
                  <c:v>922</c:v>
                </c:pt>
                <c:pt idx="37">
                  <c:v>922</c:v>
                </c:pt>
                <c:pt idx="38">
                  <c:v>922</c:v>
                </c:pt>
                <c:pt idx="39">
                  <c:v>922</c:v>
                </c:pt>
                <c:pt idx="40">
                  <c:v>922</c:v>
                </c:pt>
                <c:pt idx="41">
                  <c:v>922</c:v>
                </c:pt>
                <c:pt idx="42">
                  <c:v>922</c:v>
                </c:pt>
                <c:pt idx="43">
                  <c:v>922</c:v>
                </c:pt>
                <c:pt idx="44">
                  <c:v>922</c:v>
                </c:pt>
                <c:pt idx="45">
                  <c:v>922</c:v>
                </c:pt>
                <c:pt idx="46">
                  <c:v>922</c:v>
                </c:pt>
                <c:pt idx="47">
                  <c:v>922</c:v>
                </c:pt>
                <c:pt idx="48">
                  <c:v>922</c:v>
                </c:pt>
                <c:pt idx="49">
                  <c:v>922</c:v>
                </c:pt>
                <c:pt idx="50">
                  <c:v>922</c:v>
                </c:pt>
                <c:pt idx="51">
                  <c:v>922</c:v>
                </c:pt>
                <c:pt idx="52">
                  <c:v>922</c:v>
                </c:pt>
                <c:pt idx="53">
                  <c:v>922</c:v>
                </c:pt>
                <c:pt idx="54">
                  <c:v>922</c:v>
                </c:pt>
                <c:pt idx="55">
                  <c:v>922</c:v>
                </c:pt>
                <c:pt idx="56">
                  <c:v>922</c:v>
                </c:pt>
                <c:pt idx="57">
                  <c:v>922</c:v>
                </c:pt>
                <c:pt idx="58">
                  <c:v>922</c:v>
                </c:pt>
                <c:pt idx="59">
                  <c:v>922</c:v>
                </c:pt>
                <c:pt idx="60">
                  <c:v>922</c:v>
                </c:pt>
                <c:pt idx="61">
                  <c:v>922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[0]!G19_XValues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[0]!G19_Data</c:f>
              <c:numCache>
                <c:formatCode>General</c:formatCode>
                <c:ptCount val="62"/>
                <c:pt idx="0">
                  <c:v>917.77</c:v>
                </c:pt>
                <c:pt idx="1">
                  <c:v>918.88</c:v>
                </c:pt>
                <c:pt idx="2">
                  <c:v>917.94</c:v>
                </c:pt>
                <c:pt idx="3">
                  <c:v>919</c:v>
                </c:pt>
                <c:pt idx="4">
                  <c:v>918.3</c:v>
                </c:pt>
                <c:pt idx="5">
                  <c:v>918.2</c:v>
                </c:pt>
                <c:pt idx="6">
                  <c:v>918.7</c:v>
                </c:pt>
                <c:pt idx="7">
                  <c:v>918.6</c:v>
                </c:pt>
                <c:pt idx="8">
                  <c:v>918.2</c:v>
                </c:pt>
                <c:pt idx="9">
                  <c:v>918.21</c:v>
                </c:pt>
                <c:pt idx="10">
                  <c:v>918.91</c:v>
                </c:pt>
                <c:pt idx="11">
                  <c:v>919.08</c:v>
                </c:pt>
                <c:pt idx="12">
                  <c:v>918.79</c:v>
                </c:pt>
                <c:pt idx="13">
                  <c:v>917.96</c:v>
                </c:pt>
                <c:pt idx="14">
                  <c:v>918.54</c:v>
                </c:pt>
                <c:pt idx="15">
                  <c:v>918.82</c:v>
                </c:pt>
                <c:pt idx="16">
                  <c:v>919.4</c:v>
                </c:pt>
                <c:pt idx="17">
                  <c:v>918.53</c:v>
                </c:pt>
                <c:pt idx="18">
                  <c:v>918.2</c:v>
                </c:pt>
                <c:pt idx="19">
                  <c:v>919.3</c:v>
                </c:pt>
                <c:pt idx="20">
                  <c:v>919</c:v>
                </c:pt>
                <c:pt idx="21">
                  <c:v>917.89</c:v>
                </c:pt>
                <c:pt idx="22">
                  <c:v>918.3</c:v>
                </c:pt>
                <c:pt idx="23">
                  <c:v>918.7</c:v>
                </c:pt>
                <c:pt idx="24">
                  <c:v>918.2</c:v>
                </c:pt>
                <c:pt idx="25">
                  <c:v>918.85</c:v>
                </c:pt>
                <c:pt idx="26">
                  <c:v>918.49</c:v>
                </c:pt>
                <c:pt idx="27">
                  <c:v>917.83</c:v>
                </c:pt>
                <c:pt idx="28">
                  <c:v>919.21</c:v>
                </c:pt>
                <c:pt idx="29">
                  <c:v>919.03</c:v>
                </c:pt>
                <c:pt idx="30">
                  <c:v>918.67</c:v>
                </c:pt>
                <c:pt idx="31">
                  <c:v>918.78</c:v>
                </c:pt>
                <c:pt idx="32">
                  <c:v>918.41</c:v>
                </c:pt>
                <c:pt idx="33">
                  <c:v>918.8</c:v>
                </c:pt>
                <c:pt idx="34">
                  <c:v>918.5</c:v>
                </c:pt>
                <c:pt idx="35">
                  <c:v>918.8</c:v>
                </c:pt>
                <c:pt idx="36">
                  <c:v>918.59</c:v>
                </c:pt>
                <c:pt idx="37">
                  <c:v>918.56</c:v>
                </c:pt>
                <c:pt idx="38">
                  <c:v>918.21</c:v>
                </c:pt>
                <c:pt idx="39">
                  <c:v>918.23</c:v>
                </c:pt>
                <c:pt idx="40">
                  <c:v>918.05</c:v>
                </c:pt>
                <c:pt idx="41">
                  <c:v>917.5</c:v>
                </c:pt>
                <c:pt idx="42">
                  <c:v>918.21</c:v>
                </c:pt>
                <c:pt idx="43">
                  <c:v>918.07</c:v>
                </c:pt>
                <c:pt idx="44">
                  <c:v>918.77</c:v>
                </c:pt>
                <c:pt idx="45">
                  <c:v>918.2</c:v>
                </c:pt>
                <c:pt idx="46">
                  <c:v>918.58</c:v>
                </c:pt>
                <c:pt idx="47">
                  <c:v>918.6</c:v>
                </c:pt>
                <c:pt idx="48">
                  <c:v>919.61</c:v>
                </c:pt>
                <c:pt idx="49">
                  <c:v>918.12</c:v>
                </c:pt>
                <c:pt idx="50">
                  <c:v>917.95</c:v>
                </c:pt>
                <c:pt idx="51">
                  <c:v>918.46</c:v>
                </c:pt>
                <c:pt idx="52">
                  <c:v>918.54</c:v>
                </c:pt>
                <c:pt idx="53">
                  <c:v>919.11</c:v>
                </c:pt>
                <c:pt idx="54">
                  <c:v>918.4</c:v>
                </c:pt>
                <c:pt idx="55">
                  <c:v>918.44</c:v>
                </c:pt>
                <c:pt idx="56">
                  <c:v>919.89</c:v>
                </c:pt>
                <c:pt idx="57">
                  <c:v>918.99</c:v>
                </c:pt>
                <c:pt idx="58">
                  <c:v>918.24</c:v>
                </c:pt>
                <c:pt idx="59">
                  <c:v>917.91</c:v>
                </c:pt>
                <c:pt idx="60">
                  <c:v>918.21</c:v>
                </c:pt>
                <c:pt idx="61">
                  <c:v>918.86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768064"/>
        <c:axId val="127769984"/>
      </c:lineChart>
      <c:catAx>
        <c:axId val="127768064"/>
        <c:scaling>
          <c:orientation val="minMax"/>
        </c:scaling>
        <c:delete val="1"/>
        <c:axPos val="b"/>
        <c:majorTickMark val="out"/>
        <c:minorTickMark val="none"/>
        <c:tickLblPos val="nextTo"/>
        <c:crossAx val="127769984"/>
        <c:crosses val="autoZero"/>
        <c:auto val="0"/>
        <c:lblAlgn val="ctr"/>
        <c:lblOffset val="100"/>
        <c:noMultiLvlLbl val="1"/>
      </c:catAx>
      <c:valAx>
        <c:axId val="127769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7768064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[0]!G20_XValues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[0]!G20_Nominal</c:f>
              <c:numCache>
                <c:formatCode>General</c:formatCode>
                <c:ptCount val="62"/>
                <c:pt idx="0">
                  <c:v>919.2</c:v>
                </c:pt>
                <c:pt idx="1">
                  <c:v>919.2</c:v>
                </c:pt>
                <c:pt idx="2">
                  <c:v>919.2</c:v>
                </c:pt>
                <c:pt idx="3">
                  <c:v>919.2</c:v>
                </c:pt>
                <c:pt idx="4">
                  <c:v>919.2</c:v>
                </c:pt>
                <c:pt idx="5">
                  <c:v>919.2</c:v>
                </c:pt>
                <c:pt idx="6">
                  <c:v>919.2</c:v>
                </c:pt>
                <c:pt idx="7">
                  <c:v>919.2</c:v>
                </c:pt>
                <c:pt idx="8">
                  <c:v>919.2</c:v>
                </c:pt>
                <c:pt idx="9">
                  <c:v>919.2</c:v>
                </c:pt>
                <c:pt idx="10">
                  <c:v>919.2</c:v>
                </c:pt>
                <c:pt idx="11">
                  <c:v>919.2</c:v>
                </c:pt>
                <c:pt idx="12">
                  <c:v>919.2</c:v>
                </c:pt>
                <c:pt idx="13">
                  <c:v>919.2</c:v>
                </c:pt>
                <c:pt idx="14">
                  <c:v>919.2</c:v>
                </c:pt>
                <c:pt idx="15">
                  <c:v>919.2</c:v>
                </c:pt>
                <c:pt idx="16">
                  <c:v>919.2</c:v>
                </c:pt>
                <c:pt idx="17">
                  <c:v>919.2</c:v>
                </c:pt>
                <c:pt idx="18">
                  <c:v>919.2</c:v>
                </c:pt>
                <c:pt idx="19">
                  <c:v>919.2</c:v>
                </c:pt>
                <c:pt idx="20">
                  <c:v>919.2</c:v>
                </c:pt>
                <c:pt idx="21">
                  <c:v>919.2</c:v>
                </c:pt>
                <c:pt idx="22">
                  <c:v>919.2</c:v>
                </c:pt>
                <c:pt idx="23">
                  <c:v>919.2</c:v>
                </c:pt>
                <c:pt idx="24">
                  <c:v>919.2</c:v>
                </c:pt>
                <c:pt idx="25">
                  <c:v>919.2</c:v>
                </c:pt>
                <c:pt idx="26">
                  <c:v>919.2</c:v>
                </c:pt>
                <c:pt idx="27">
                  <c:v>919.2</c:v>
                </c:pt>
                <c:pt idx="28">
                  <c:v>919.2</c:v>
                </c:pt>
                <c:pt idx="29">
                  <c:v>919.2</c:v>
                </c:pt>
                <c:pt idx="30">
                  <c:v>919.2</c:v>
                </c:pt>
                <c:pt idx="31">
                  <c:v>919.2</c:v>
                </c:pt>
                <c:pt idx="32">
                  <c:v>919.2</c:v>
                </c:pt>
                <c:pt idx="33">
                  <c:v>919.2</c:v>
                </c:pt>
                <c:pt idx="34">
                  <c:v>919.2</c:v>
                </c:pt>
                <c:pt idx="35">
                  <c:v>919.2</c:v>
                </c:pt>
                <c:pt idx="36">
                  <c:v>919.2</c:v>
                </c:pt>
                <c:pt idx="37">
                  <c:v>919.2</c:v>
                </c:pt>
                <c:pt idx="38">
                  <c:v>919.2</c:v>
                </c:pt>
                <c:pt idx="39">
                  <c:v>919.2</c:v>
                </c:pt>
                <c:pt idx="40">
                  <c:v>919.2</c:v>
                </c:pt>
                <c:pt idx="41">
                  <c:v>919.2</c:v>
                </c:pt>
                <c:pt idx="42">
                  <c:v>919.2</c:v>
                </c:pt>
                <c:pt idx="43">
                  <c:v>919.2</c:v>
                </c:pt>
                <c:pt idx="44">
                  <c:v>919.2</c:v>
                </c:pt>
                <c:pt idx="45">
                  <c:v>919.2</c:v>
                </c:pt>
                <c:pt idx="46">
                  <c:v>919.2</c:v>
                </c:pt>
                <c:pt idx="47">
                  <c:v>919.2</c:v>
                </c:pt>
                <c:pt idx="48">
                  <c:v>919.2</c:v>
                </c:pt>
                <c:pt idx="49">
                  <c:v>919.2</c:v>
                </c:pt>
                <c:pt idx="50">
                  <c:v>919.2</c:v>
                </c:pt>
                <c:pt idx="51">
                  <c:v>919.2</c:v>
                </c:pt>
                <c:pt idx="52">
                  <c:v>919.2</c:v>
                </c:pt>
                <c:pt idx="53">
                  <c:v>919.2</c:v>
                </c:pt>
                <c:pt idx="54">
                  <c:v>919.2</c:v>
                </c:pt>
                <c:pt idx="55">
                  <c:v>919.2</c:v>
                </c:pt>
                <c:pt idx="56">
                  <c:v>919.2</c:v>
                </c:pt>
                <c:pt idx="57">
                  <c:v>919.2</c:v>
                </c:pt>
                <c:pt idx="58">
                  <c:v>919.2</c:v>
                </c:pt>
                <c:pt idx="59">
                  <c:v>919.2</c:v>
                </c:pt>
                <c:pt idx="60">
                  <c:v>919.2</c:v>
                </c:pt>
                <c:pt idx="61">
                  <c:v>919.2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[0]!G20_XValues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[0]!G20_Lie</c:f>
              <c:numCache>
                <c:formatCode>General</c:formatCode>
                <c:ptCount val="62"/>
                <c:pt idx="0">
                  <c:v>915.2</c:v>
                </c:pt>
                <c:pt idx="1">
                  <c:v>915.2</c:v>
                </c:pt>
                <c:pt idx="2">
                  <c:v>915.2</c:v>
                </c:pt>
                <c:pt idx="3">
                  <c:v>915.2</c:v>
                </c:pt>
                <c:pt idx="4">
                  <c:v>915.2</c:v>
                </c:pt>
                <c:pt idx="5">
                  <c:v>915.2</c:v>
                </c:pt>
                <c:pt idx="6">
                  <c:v>915.2</c:v>
                </c:pt>
                <c:pt idx="7">
                  <c:v>915.2</c:v>
                </c:pt>
                <c:pt idx="8">
                  <c:v>915.2</c:v>
                </c:pt>
                <c:pt idx="9">
                  <c:v>915.2</c:v>
                </c:pt>
                <c:pt idx="10">
                  <c:v>915.2</c:v>
                </c:pt>
                <c:pt idx="11">
                  <c:v>915.2</c:v>
                </c:pt>
                <c:pt idx="12">
                  <c:v>915.2</c:v>
                </c:pt>
                <c:pt idx="13">
                  <c:v>915.2</c:v>
                </c:pt>
                <c:pt idx="14">
                  <c:v>915.2</c:v>
                </c:pt>
                <c:pt idx="15">
                  <c:v>915.2</c:v>
                </c:pt>
                <c:pt idx="16">
                  <c:v>915.2</c:v>
                </c:pt>
                <c:pt idx="17">
                  <c:v>915.2</c:v>
                </c:pt>
                <c:pt idx="18">
                  <c:v>915.2</c:v>
                </c:pt>
                <c:pt idx="19">
                  <c:v>915.2</c:v>
                </c:pt>
                <c:pt idx="20">
                  <c:v>915.2</c:v>
                </c:pt>
                <c:pt idx="21">
                  <c:v>915.2</c:v>
                </c:pt>
                <c:pt idx="22">
                  <c:v>915.2</c:v>
                </c:pt>
                <c:pt idx="23">
                  <c:v>915.2</c:v>
                </c:pt>
                <c:pt idx="24">
                  <c:v>915.2</c:v>
                </c:pt>
                <c:pt idx="25">
                  <c:v>915.2</c:v>
                </c:pt>
                <c:pt idx="26">
                  <c:v>915.2</c:v>
                </c:pt>
                <c:pt idx="27">
                  <c:v>915.2</c:v>
                </c:pt>
                <c:pt idx="28">
                  <c:v>915.2</c:v>
                </c:pt>
                <c:pt idx="29">
                  <c:v>915.2</c:v>
                </c:pt>
                <c:pt idx="30">
                  <c:v>915.2</c:v>
                </c:pt>
                <c:pt idx="31">
                  <c:v>915.2</c:v>
                </c:pt>
                <c:pt idx="32">
                  <c:v>915.2</c:v>
                </c:pt>
                <c:pt idx="33">
                  <c:v>915.2</c:v>
                </c:pt>
                <c:pt idx="34">
                  <c:v>915.2</c:v>
                </c:pt>
                <c:pt idx="35">
                  <c:v>915.2</c:v>
                </c:pt>
                <c:pt idx="36">
                  <c:v>915.2</c:v>
                </c:pt>
                <c:pt idx="37">
                  <c:v>915.2</c:v>
                </c:pt>
                <c:pt idx="38">
                  <c:v>915.2</c:v>
                </c:pt>
                <c:pt idx="39">
                  <c:v>915.2</c:v>
                </c:pt>
                <c:pt idx="40">
                  <c:v>915.2</c:v>
                </c:pt>
                <c:pt idx="41">
                  <c:v>915.2</c:v>
                </c:pt>
                <c:pt idx="42">
                  <c:v>915.2</c:v>
                </c:pt>
                <c:pt idx="43">
                  <c:v>915.2</c:v>
                </c:pt>
                <c:pt idx="44">
                  <c:v>915.2</c:v>
                </c:pt>
                <c:pt idx="45">
                  <c:v>915.2</c:v>
                </c:pt>
                <c:pt idx="46">
                  <c:v>915.2</c:v>
                </c:pt>
                <c:pt idx="47">
                  <c:v>915.2</c:v>
                </c:pt>
                <c:pt idx="48">
                  <c:v>915.2</c:v>
                </c:pt>
                <c:pt idx="49">
                  <c:v>915.2</c:v>
                </c:pt>
                <c:pt idx="50">
                  <c:v>915.2</c:v>
                </c:pt>
                <c:pt idx="51">
                  <c:v>915.2</c:v>
                </c:pt>
                <c:pt idx="52">
                  <c:v>915.2</c:v>
                </c:pt>
                <c:pt idx="53">
                  <c:v>915.2</c:v>
                </c:pt>
                <c:pt idx="54">
                  <c:v>915.2</c:v>
                </c:pt>
                <c:pt idx="55">
                  <c:v>915.2</c:v>
                </c:pt>
                <c:pt idx="56">
                  <c:v>915.2</c:v>
                </c:pt>
                <c:pt idx="57">
                  <c:v>915.2</c:v>
                </c:pt>
                <c:pt idx="58">
                  <c:v>915.2</c:v>
                </c:pt>
                <c:pt idx="59">
                  <c:v>915.2</c:v>
                </c:pt>
                <c:pt idx="60">
                  <c:v>915.2</c:v>
                </c:pt>
                <c:pt idx="61">
                  <c:v>915.2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[0]!G20_XValues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[0]!G20_Lse</c:f>
              <c:numCache>
                <c:formatCode>General</c:formatCode>
                <c:ptCount val="62"/>
                <c:pt idx="0">
                  <c:v>923.2</c:v>
                </c:pt>
                <c:pt idx="1">
                  <c:v>923.2</c:v>
                </c:pt>
                <c:pt idx="2">
                  <c:v>923.2</c:v>
                </c:pt>
                <c:pt idx="3">
                  <c:v>923.2</c:v>
                </c:pt>
                <c:pt idx="4">
                  <c:v>923.2</c:v>
                </c:pt>
                <c:pt idx="5">
                  <c:v>923.2</c:v>
                </c:pt>
                <c:pt idx="6">
                  <c:v>923.2</c:v>
                </c:pt>
                <c:pt idx="7">
                  <c:v>923.2</c:v>
                </c:pt>
                <c:pt idx="8">
                  <c:v>923.2</c:v>
                </c:pt>
                <c:pt idx="9">
                  <c:v>923.2</c:v>
                </c:pt>
                <c:pt idx="10">
                  <c:v>923.2</c:v>
                </c:pt>
                <c:pt idx="11">
                  <c:v>923.2</c:v>
                </c:pt>
                <c:pt idx="12">
                  <c:v>923.2</c:v>
                </c:pt>
                <c:pt idx="13">
                  <c:v>923.2</c:v>
                </c:pt>
                <c:pt idx="14">
                  <c:v>923.2</c:v>
                </c:pt>
                <c:pt idx="15">
                  <c:v>923.2</c:v>
                </c:pt>
                <c:pt idx="16">
                  <c:v>923.2</c:v>
                </c:pt>
                <c:pt idx="17">
                  <c:v>923.2</c:v>
                </c:pt>
                <c:pt idx="18">
                  <c:v>923.2</c:v>
                </c:pt>
                <c:pt idx="19">
                  <c:v>923.2</c:v>
                </c:pt>
                <c:pt idx="20">
                  <c:v>923.2</c:v>
                </c:pt>
                <c:pt idx="21">
                  <c:v>923.2</c:v>
                </c:pt>
                <c:pt idx="22">
                  <c:v>923.2</c:v>
                </c:pt>
                <c:pt idx="23">
                  <c:v>923.2</c:v>
                </c:pt>
                <c:pt idx="24">
                  <c:v>923.2</c:v>
                </c:pt>
                <c:pt idx="25">
                  <c:v>923.2</c:v>
                </c:pt>
                <c:pt idx="26">
                  <c:v>923.2</c:v>
                </c:pt>
                <c:pt idx="27">
                  <c:v>923.2</c:v>
                </c:pt>
                <c:pt idx="28">
                  <c:v>923.2</c:v>
                </c:pt>
                <c:pt idx="29">
                  <c:v>923.2</c:v>
                </c:pt>
                <c:pt idx="30">
                  <c:v>923.2</c:v>
                </c:pt>
                <c:pt idx="31">
                  <c:v>923.2</c:v>
                </c:pt>
                <c:pt idx="32">
                  <c:v>923.2</c:v>
                </c:pt>
                <c:pt idx="33">
                  <c:v>923.2</c:v>
                </c:pt>
                <c:pt idx="34">
                  <c:v>923.2</c:v>
                </c:pt>
                <c:pt idx="35">
                  <c:v>923.2</c:v>
                </c:pt>
                <c:pt idx="36">
                  <c:v>923.2</c:v>
                </c:pt>
                <c:pt idx="37">
                  <c:v>923.2</c:v>
                </c:pt>
                <c:pt idx="38">
                  <c:v>923.2</c:v>
                </c:pt>
                <c:pt idx="39">
                  <c:v>923.2</c:v>
                </c:pt>
                <c:pt idx="40">
                  <c:v>923.2</c:v>
                </c:pt>
                <c:pt idx="41">
                  <c:v>923.2</c:v>
                </c:pt>
                <c:pt idx="42">
                  <c:v>923.2</c:v>
                </c:pt>
                <c:pt idx="43">
                  <c:v>923.2</c:v>
                </c:pt>
                <c:pt idx="44">
                  <c:v>923.2</c:v>
                </c:pt>
                <c:pt idx="45">
                  <c:v>923.2</c:v>
                </c:pt>
                <c:pt idx="46">
                  <c:v>923.2</c:v>
                </c:pt>
                <c:pt idx="47">
                  <c:v>923.2</c:v>
                </c:pt>
                <c:pt idx="48">
                  <c:v>923.2</c:v>
                </c:pt>
                <c:pt idx="49">
                  <c:v>923.2</c:v>
                </c:pt>
                <c:pt idx="50">
                  <c:v>923.2</c:v>
                </c:pt>
                <c:pt idx="51">
                  <c:v>923.2</c:v>
                </c:pt>
                <c:pt idx="52">
                  <c:v>923.2</c:v>
                </c:pt>
                <c:pt idx="53">
                  <c:v>923.2</c:v>
                </c:pt>
                <c:pt idx="54">
                  <c:v>923.2</c:v>
                </c:pt>
                <c:pt idx="55">
                  <c:v>923.2</c:v>
                </c:pt>
                <c:pt idx="56">
                  <c:v>923.2</c:v>
                </c:pt>
                <c:pt idx="57">
                  <c:v>923.2</c:v>
                </c:pt>
                <c:pt idx="58">
                  <c:v>923.2</c:v>
                </c:pt>
                <c:pt idx="59">
                  <c:v>923.2</c:v>
                </c:pt>
                <c:pt idx="60">
                  <c:v>923.2</c:v>
                </c:pt>
                <c:pt idx="61">
                  <c:v>923.2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[0]!G20_XValues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5/27/2026</c:v>
                  </c:pt>
                  <c:pt idx="1">
                    <c:v>5/27/2026</c:v>
                  </c:pt>
                  <c:pt idx="2">
                    <c:v>5/27/2026</c:v>
                  </c:pt>
                  <c:pt idx="3">
                    <c:v>5/27/2026</c:v>
                  </c:pt>
                  <c:pt idx="4">
                    <c:v>5/28/2026</c:v>
                  </c:pt>
                  <c:pt idx="5">
                    <c:v>5/28/2026</c:v>
                  </c:pt>
                  <c:pt idx="6">
                    <c:v>5/29/2026</c:v>
                  </c:pt>
                  <c:pt idx="7">
                    <c:v>5/29/2026</c:v>
                  </c:pt>
                  <c:pt idx="8">
                    <c:v>5/29/2026</c:v>
                  </c:pt>
                  <c:pt idx="9">
                    <c:v>5/29/2026</c:v>
                  </c:pt>
                  <c:pt idx="10">
                    <c:v>5/30/2026</c:v>
                  </c:pt>
                  <c:pt idx="11">
                    <c:v>5/30/2026</c:v>
                  </c:pt>
                  <c:pt idx="12">
                    <c:v>5/30/2026</c:v>
                  </c:pt>
                  <c:pt idx="13">
                    <c:v>6/1/2026</c:v>
                  </c:pt>
                  <c:pt idx="14">
                    <c:v>6/1/2026</c:v>
                  </c:pt>
                  <c:pt idx="15">
                    <c:v>6/1/2026</c:v>
                  </c:pt>
                  <c:pt idx="16">
                    <c:v>6/1/2026</c:v>
                  </c:pt>
                  <c:pt idx="17">
                    <c:v>6/2/2026</c:v>
                  </c:pt>
                  <c:pt idx="18">
                    <c:v>6/2/2026</c:v>
                  </c:pt>
                  <c:pt idx="19">
                    <c:v>6/2/2026</c:v>
                  </c:pt>
                  <c:pt idx="20">
                    <c:v>6/3/2026</c:v>
                  </c:pt>
                  <c:pt idx="21">
                    <c:v>6/3/2026</c:v>
                  </c:pt>
                  <c:pt idx="22">
                    <c:v>6/3/2026</c:v>
                  </c:pt>
                  <c:pt idx="23">
                    <c:v>6/3/2026</c:v>
                  </c:pt>
                  <c:pt idx="24">
                    <c:v>6/3/2026</c:v>
                  </c:pt>
                  <c:pt idx="25">
                    <c:v>6/3/2026</c:v>
                  </c:pt>
                  <c:pt idx="26">
                    <c:v>6/3/2026</c:v>
                  </c:pt>
                  <c:pt idx="27">
                    <c:v>6/4/2026</c:v>
                  </c:pt>
                  <c:pt idx="28">
                    <c:v>6/5/2026</c:v>
                  </c:pt>
                  <c:pt idx="29">
                    <c:v>6/5/2026</c:v>
                  </c:pt>
                  <c:pt idx="30">
                    <c:v>6/5/2026</c:v>
                  </c:pt>
                  <c:pt idx="31">
                    <c:v>6/6/2026</c:v>
                  </c:pt>
                  <c:pt idx="32">
                    <c:v>6/7/2026</c:v>
                  </c:pt>
                  <c:pt idx="33">
                    <c:v>6/7/2026</c:v>
                  </c:pt>
                  <c:pt idx="34">
                    <c:v>6/7/2026</c:v>
                  </c:pt>
                  <c:pt idx="35">
                    <c:v>6/7/2026</c:v>
                  </c:pt>
                  <c:pt idx="36">
                    <c:v>6/8/2026</c:v>
                  </c:pt>
                  <c:pt idx="37">
                    <c:v>6/8/2026</c:v>
                  </c:pt>
                  <c:pt idx="38">
                    <c:v>6/8/2026</c:v>
                  </c:pt>
                  <c:pt idx="39">
                    <c:v>6/8/2026</c:v>
                  </c:pt>
                  <c:pt idx="40">
                    <c:v>6/8/2026</c:v>
                  </c:pt>
                  <c:pt idx="41">
                    <c:v>6/9/2026</c:v>
                  </c:pt>
                  <c:pt idx="42">
                    <c:v>6/9/2026</c:v>
                  </c:pt>
                  <c:pt idx="43">
                    <c:v>6/9/2026</c:v>
                  </c:pt>
                  <c:pt idx="44">
                    <c:v>6/9/2026</c:v>
                  </c:pt>
                  <c:pt idx="45">
                    <c:v>6/9/2026</c:v>
                  </c:pt>
                  <c:pt idx="46">
                    <c:v>6/10/2026</c:v>
                  </c:pt>
                  <c:pt idx="47">
                    <c:v>6/10/2026</c:v>
                  </c:pt>
                  <c:pt idx="48">
                    <c:v>6/10/2026</c:v>
                  </c:pt>
                  <c:pt idx="49">
                    <c:v>6/10/2026</c:v>
                  </c:pt>
                  <c:pt idx="50">
                    <c:v>6/10/2026</c:v>
                  </c:pt>
                  <c:pt idx="51">
                    <c:v>6/11/2026</c:v>
                  </c:pt>
                  <c:pt idx="52">
                    <c:v>6/11/2026</c:v>
                  </c:pt>
                  <c:pt idx="53">
                    <c:v>6/11/2026</c:v>
                  </c:pt>
                  <c:pt idx="54">
                    <c:v>6/11/2026</c:v>
                  </c:pt>
                  <c:pt idx="55">
                    <c:v>6/11/2026</c:v>
                  </c:pt>
                  <c:pt idx="56">
                    <c:v>6/12/2026</c:v>
                  </c:pt>
                  <c:pt idx="57">
                    <c:v>6/12/2026</c:v>
                  </c:pt>
                  <c:pt idx="58">
                    <c:v>6/12/2026</c:v>
                  </c:pt>
                  <c:pt idx="59">
                    <c:v>6/12/2026</c:v>
                  </c:pt>
                  <c:pt idx="60">
                    <c:v>6/13/2026</c:v>
                  </c:pt>
                  <c:pt idx="61">
                    <c:v>6/13/2026</c:v>
                  </c:pt>
                </c:lvl>
              </c:multiLvlStrCache>
            </c:multiLvlStrRef>
          </c:cat>
          <c:val>
            <c:numRef>
              <c:f>[0]!G20_Data</c:f>
              <c:numCache>
                <c:formatCode>General</c:formatCode>
                <c:ptCount val="62"/>
                <c:pt idx="0">
                  <c:v>920.19</c:v>
                </c:pt>
                <c:pt idx="1">
                  <c:v>919.36</c:v>
                </c:pt>
                <c:pt idx="2">
                  <c:v>920.29</c:v>
                </c:pt>
                <c:pt idx="3">
                  <c:v>919.3</c:v>
                </c:pt>
                <c:pt idx="4">
                  <c:v>920.5</c:v>
                </c:pt>
                <c:pt idx="5">
                  <c:v>919.8</c:v>
                </c:pt>
                <c:pt idx="6">
                  <c:v>920.6</c:v>
                </c:pt>
                <c:pt idx="7">
                  <c:v>919.7</c:v>
                </c:pt>
                <c:pt idx="8">
                  <c:v>920.7</c:v>
                </c:pt>
                <c:pt idx="9">
                  <c:v>920.91</c:v>
                </c:pt>
                <c:pt idx="10">
                  <c:v>919.45</c:v>
                </c:pt>
                <c:pt idx="11">
                  <c:v>919.23</c:v>
                </c:pt>
                <c:pt idx="12">
                  <c:v>919.29</c:v>
                </c:pt>
                <c:pt idx="13">
                  <c:v>920.55</c:v>
                </c:pt>
                <c:pt idx="14">
                  <c:v>919.52</c:v>
                </c:pt>
                <c:pt idx="15">
                  <c:v>920.16</c:v>
                </c:pt>
                <c:pt idx="16">
                  <c:v>919.22</c:v>
                </c:pt>
                <c:pt idx="17">
                  <c:v>919.57</c:v>
                </c:pt>
                <c:pt idx="18">
                  <c:v>920.7</c:v>
                </c:pt>
                <c:pt idx="19">
                  <c:v>919.2</c:v>
                </c:pt>
                <c:pt idx="20">
                  <c:v>920.4</c:v>
                </c:pt>
                <c:pt idx="21">
                  <c:v>919.87</c:v>
                </c:pt>
                <c:pt idx="22">
                  <c:v>920.6</c:v>
                </c:pt>
                <c:pt idx="23">
                  <c:v>920.8</c:v>
                </c:pt>
                <c:pt idx="24">
                  <c:v>920.6</c:v>
                </c:pt>
                <c:pt idx="25">
                  <c:v>919.77</c:v>
                </c:pt>
                <c:pt idx="26">
                  <c:v>920.74</c:v>
                </c:pt>
                <c:pt idx="27">
                  <c:v>920.72</c:v>
                </c:pt>
                <c:pt idx="28">
                  <c:v>921.13</c:v>
                </c:pt>
                <c:pt idx="29">
                  <c:v>921.23</c:v>
                </c:pt>
                <c:pt idx="30">
                  <c:v>920.37</c:v>
                </c:pt>
                <c:pt idx="31">
                  <c:v>919.93</c:v>
                </c:pt>
                <c:pt idx="32">
                  <c:v>920.77</c:v>
                </c:pt>
                <c:pt idx="33">
                  <c:v>920.31</c:v>
                </c:pt>
                <c:pt idx="34">
                  <c:v>920.2</c:v>
                </c:pt>
                <c:pt idx="35">
                  <c:v>921.11</c:v>
                </c:pt>
                <c:pt idx="36">
                  <c:v>920.98</c:v>
                </c:pt>
                <c:pt idx="37">
                  <c:v>920.16</c:v>
                </c:pt>
                <c:pt idx="38">
                  <c:v>920.31</c:v>
                </c:pt>
                <c:pt idx="39">
                  <c:v>920.67</c:v>
                </c:pt>
                <c:pt idx="40">
                  <c:v>920.62</c:v>
                </c:pt>
                <c:pt idx="41">
                  <c:v>922.21</c:v>
                </c:pt>
                <c:pt idx="42">
                  <c:v>921.34</c:v>
                </c:pt>
                <c:pt idx="43">
                  <c:v>921.7</c:v>
                </c:pt>
                <c:pt idx="44">
                  <c:v>920.53</c:v>
                </c:pt>
                <c:pt idx="45">
                  <c:v>920.55</c:v>
                </c:pt>
                <c:pt idx="46">
                  <c:v>920.65</c:v>
                </c:pt>
                <c:pt idx="47">
                  <c:v>920.2</c:v>
                </c:pt>
                <c:pt idx="48">
                  <c:v>920.6</c:v>
                </c:pt>
                <c:pt idx="49">
                  <c:v>921.02</c:v>
                </c:pt>
                <c:pt idx="50">
                  <c:v>920.82</c:v>
                </c:pt>
                <c:pt idx="51">
                  <c:v>921.14</c:v>
                </c:pt>
                <c:pt idx="52">
                  <c:v>921.29</c:v>
                </c:pt>
                <c:pt idx="53">
                  <c:v>920.53</c:v>
                </c:pt>
                <c:pt idx="54">
                  <c:v>920.21</c:v>
                </c:pt>
                <c:pt idx="55">
                  <c:v>921.09</c:v>
                </c:pt>
                <c:pt idx="56">
                  <c:v>920.03</c:v>
                </c:pt>
                <c:pt idx="57">
                  <c:v>921.01</c:v>
                </c:pt>
                <c:pt idx="58">
                  <c:v>921.25</c:v>
                </c:pt>
                <c:pt idx="59">
                  <c:v>922.55</c:v>
                </c:pt>
                <c:pt idx="60">
                  <c:v>921.14</c:v>
                </c:pt>
                <c:pt idx="61">
                  <c:v>919.85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656320"/>
        <c:axId val="127658240"/>
      </c:lineChart>
      <c:catAx>
        <c:axId val="127656320"/>
        <c:scaling>
          <c:orientation val="minMax"/>
        </c:scaling>
        <c:delete val="1"/>
        <c:axPos val="b"/>
        <c:majorTickMark val="out"/>
        <c:minorTickMark val="none"/>
        <c:tickLblPos val="nextTo"/>
        <c:crossAx val="127658240"/>
        <c:crosses val="autoZero"/>
        <c:auto val="0"/>
        <c:lblAlgn val="ctr"/>
        <c:lblOffset val="100"/>
        <c:noMultiLvlLbl val="1"/>
      </c:catAx>
      <c:valAx>
        <c:axId val="127658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7656320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13" Type="http://schemas.openxmlformats.org/officeDocument/2006/relationships/chart" Target="../charts/chart9.xml"/><Relationship Id="rId18" Type="http://schemas.openxmlformats.org/officeDocument/2006/relationships/chart" Target="../charts/chart12.xml"/><Relationship Id="rId26" Type="http://schemas.openxmlformats.org/officeDocument/2006/relationships/chart" Target="../charts/chart18.xml"/><Relationship Id="rId3" Type="http://schemas.openxmlformats.org/officeDocument/2006/relationships/image" Target="../media/image2.jpg"/><Relationship Id="rId21" Type="http://schemas.openxmlformats.org/officeDocument/2006/relationships/image" Target="../media/image7.jpg"/><Relationship Id="rId7" Type="http://schemas.openxmlformats.org/officeDocument/2006/relationships/image" Target="../media/image3.jpg"/><Relationship Id="rId12" Type="http://schemas.openxmlformats.org/officeDocument/2006/relationships/chart" Target="../charts/chart8.xml"/><Relationship Id="rId17" Type="http://schemas.openxmlformats.org/officeDocument/2006/relationships/image" Target="../media/image6.jpg"/><Relationship Id="rId25" Type="http://schemas.openxmlformats.org/officeDocument/2006/relationships/image" Target="../media/image8.jpg"/><Relationship Id="rId2" Type="http://schemas.openxmlformats.org/officeDocument/2006/relationships/chart" Target="../charts/chart1.xml"/><Relationship Id="rId16" Type="http://schemas.openxmlformats.org/officeDocument/2006/relationships/chart" Target="../charts/chart11.xml"/><Relationship Id="rId20" Type="http://schemas.openxmlformats.org/officeDocument/2006/relationships/chart" Target="../charts/chart14.xml"/><Relationship Id="rId29" Type="http://schemas.openxmlformats.org/officeDocument/2006/relationships/image" Target="../media/image9.jpg"/><Relationship Id="rId1" Type="http://schemas.openxmlformats.org/officeDocument/2006/relationships/image" Target="../media/image1.jpg"/><Relationship Id="rId6" Type="http://schemas.openxmlformats.org/officeDocument/2006/relationships/chart" Target="../charts/chart4.xml"/><Relationship Id="rId11" Type="http://schemas.openxmlformats.org/officeDocument/2006/relationships/image" Target="../media/image4.jpg"/><Relationship Id="rId24" Type="http://schemas.openxmlformats.org/officeDocument/2006/relationships/chart" Target="../charts/chart17.xml"/><Relationship Id="rId5" Type="http://schemas.openxmlformats.org/officeDocument/2006/relationships/chart" Target="../charts/chart3.xml"/><Relationship Id="rId15" Type="http://schemas.openxmlformats.org/officeDocument/2006/relationships/image" Target="../media/image5.jpg"/><Relationship Id="rId23" Type="http://schemas.openxmlformats.org/officeDocument/2006/relationships/chart" Target="../charts/chart16.xml"/><Relationship Id="rId28" Type="http://schemas.openxmlformats.org/officeDocument/2006/relationships/chart" Target="../charts/chart20.xml"/><Relationship Id="rId10" Type="http://schemas.openxmlformats.org/officeDocument/2006/relationships/chart" Target="../charts/chart7.xml"/><Relationship Id="rId19" Type="http://schemas.openxmlformats.org/officeDocument/2006/relationships/chart" Target="../charts/chart13.xml"/><Relationship Id="rId4" Type="http://schemas.openxmlformats.org/officeDocument/2006/relationships/chart" Target="../charts/chart2.xml"/><Relationship Id="rId9" Type="http://schemas.openxmlformats.org/officeDocument/2006/relationships/chart" Target="../charts/chart6.xml"/><Relationship Id="rId14" Type="http://schemas.openxmlformats.org/officeDocument/2006/relationships/chart" Target="../charts/chart10.xml"/><Relationship Id="rId22" Type="http://schemas.openxmlformats.org/officeDocument/2006/relationships/chart" Target="../charts/chart15.xml"/><Relationship Id="rId27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579351</xdr:colOff>
      <xdr:row>3</xdr:row>
      <xdr:rowOff>25400</xdr:rowOff>
    </xdr:from>
    <xdr:to>
      <xdr:col>7</xdr:col>
      <xdr:colOff>2011448</xdr:colOff>
      <xdr:row>3</xdr:row>
      <xdr:rowOff>3784600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3626" y="1073150"/>
          <a:ext cx="4937297" cy="37592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4</xdr:row>
      <xdr:rowOff>38100</xdr:rowOff>
    </xdr:from>
    <xdr:to>
      <xdr:col>7</xdr:col>
      <xdr:colOff>6276975</xdr:colOff>
      <xdr:row>8</xdr:row>
      <xdr:rowOff>428625</xdr:rowOff>
    </xdr:to>
    <xdr:graphicFrame macro="">
      <xdr:nvGraphicFramePr>
        <xdr:cNvPr id="4" name="G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250561</xdr:colOff>
      <xdr:row>5</xdr:row>
      <xdr:rowOff>25400</xdr:rowOff>
    </xdr:from>
    <xdr:to>
      <xdr:col>6</xdr:col>
      <xdr:colOff>2445015</xdr:colOff>
      <xdr:row>8</xdr:row>
      <xdr:rowOff>441325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4461" y="7683500"/>
          <a:ext cx="2194454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9</xdr:row>
      <xdr:rowOff>38100</xdr:rowOff>
    </xdr:from>
    <xdr:to>
      <xdr:col>7</xdr:col>
      <xdr:colOff>6276975</xdr:colOff>
      <xdr:row>13</xdr:row>
      <xdr:rowOff>428625</xdr:rowOff>
    </xdr:to>
    <xdr:graphicFrame macro="">
      <xdr:nvGraphicFramePr>
        <xdr:cNvPr id="6" name="G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250561</xdr:colOff>
      <xdr:row>10</xdr:row>
      <xdr:rowOff>25400</xdr:rowOff>
    </xdr:from>
    <xdr:to>
      <xdr:col>6</xdr:col>
      <xdr:colOff>2445015</xdr:colOff>
      <xdr:row>13</xdr:row>
      <xdr:rowOff>441325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4461" y="10017125"/>
          <a:ext cx="2194454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14</xdr:row>
      <xdr:rowOff>38100</xdr:rowOff>
    </xdr:from>
    <xdr:to>
      <xdr:col>7</xdr:col>
      <xdr:colOff>6276975</xdr:colOff>
      <xdr:row>18</xdr:row>
      <xdr:rowOff>428625</xdr:rowOff>
    </xdr:to>
    <xdr:graphicFrame macro="">
      <xdr:nvGraphicFramePr>
        <xdr:cNvPr id="8" name="G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250561</xdr:colOff>
      <xdr:row>15</xdr:row>
      <xdr:rowOff>25400</xdr:rowOff>
    </xdr:from>
    <xdr:to>
      <xdr:col>6</xdr:col>
      <xdr:colOff>2445015</xdr:colOff>
      <xdr:row>18</xdr:row>
      <xdr:rowOff>441325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4461" y="12350750"/>
          <a:ext cx="2194454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19</xdr:row>
      <xdr:rowOff>38100</xdr:rowOff>
    </xdr:from>
    <xdr:to>
      <xdr:col>7</xdr:col>
      <xdr:colOff>6276975</xdr:colOff>
      <xdr:row>23</xdr:row>
      <xdr:rowOff>428625</xdr:rowOff>
    </xdr:to>
    <xdr:graphicFrame macro="">
      <xdr:nvGraphicFramePr>
        <xdr:cNvPr id="10" name="G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453496</xdr:colOff>
      <xdr:row>20</xdr:row>
      <xdr:rowOff>25400</xdr:rowOff>
    </xdr:from>
    <xdr:to>
      <xdr:col>6</xdr:col>
      <xdr:colOff>2242079</xdr:colOff>
      <xdr:row>23</xdr:row>
      <xdr:rowOff>441325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396" y="14684375"/>
          <a:ext cx="1788583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24</xdr:row>
      <xdr:rowOff>38100</xdr:rowOff>
    </xdr:from>
    <xdr:to>
      <xdr:col>7</xdr:col>
      <xdr:colOff>6276975</xdr:colOff>
      <xdr:row>28</xdr:row>
      <xdr:rowOff>428625</xdr:rowOff>
    </xdr:to>
    <xdr:graphicFrame macro="">
      <xdr:nvGraphicFramePr>
        <xdr:cNvPr id="12" name="G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453496</xdr:colOff>
      <xdr:row>25</xdr:row>
      <xdr:rowOff>25400</xdr:rowOff>
    </xdr:from>
    <xdr:to>
      <xdr:col>6</xdr:col>
      <xdr:colOff>2242079</xdr:colOff>
      <xdr:row>28</xdr:row>
      <xdr:rowOff>441325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396" y="17018000"/>
          <a:ext cx="1788583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29</xdr:row>
      <xdr:rowOff>38100</xdr:rowOff>
    </xdr:from>
    <xdr:to>
      <xdr:col>7</xdr:col>
      <xdr:colOff>6276975</xdr:colOff>
      <xdr:row>33</xdr:row>
      <xdr:rowOff>428625</xdr:rowOff>
    </xdr:to>
    <xdr:graphicFrame macro="">
      <xdr:nvGraphicFramePr>
        <xdr:cNvPr id="14" name="G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453496</xdr:colOff>
      <xdr:row>30</xdr:row>
      <xdr:rowOff>25400</xdr:rowOff>
    </xdr:from>
    <xdr:to>
      <xdr:col>6</xdr:col>
      <xdr:colOff>2242079</xdr:colOff>
      <xdr:row>33</xdr:row>
      <xdr:rowOff>441325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396" y="19351625"/>
          <a:ext cx="1788583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34</xdr:row>
      <xdr:rowOff>38100</xdr:rowOff>
    </xdr:from>
    <xdr:to>
      <xdr:col>7</xdr:col>
      <xdr:colOff>6276975</xdr:colOff>
      <xdr:row>38</xdr:row>
      <xdr:rowOff>428625</xdr:rowOff>
    </xdr:to>
    <xdr:graphicFrame macro="">
      <xdr:nvGraphicFramePr>
        <xdr:cNvPr id="16" name="G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453496</xdr:colOff>
      <xdr:row>35</xdr:row>
      <xdr:rowOff>25400</xdr:rowOff>
    </xdr:from>
    <xdr:to>
      <xdr:col>6</xdr:col>
      <xdr:colOff>2242079</xdr:colOff>
      <xdr:row>38</xdr:row>
      <xdr:rowOff>441325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396" y="21685250"/>
          <a:ext cx="1788583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39</xdr:row>
      <xdr:rowOff>38100</xdr:rowOff>
    </xdr:from>
    <xdr:to>
      <xdr:col>7</xdr:col>
      <xdr:colOff>6276975</xdr:colOff>
      <xdr:row>43</xdr:row>
      <xdr:rowOff>428625</xdr:rowOff>
    </xdr:to>
    <xdr:graphicFrame macro="">
      <xdr:nvGraphicFramePr>
        <xdr:cNvPr id="18" name="G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453496</xdr:colOff>
      <xdr:row>40</xdr:row>
      <xdr:rowOff>25400</xdr:rowOff>
    </xdr:from>
    <xdr:to>
      <xdr:col>6</xdr:col>
      <xdr:colOff>2242079</xdr:colOff>
      <xdr:row>43</xdr:row>
      <xdr:rowOff>441325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396" y="24018875"/>
          <a:ext cx="1788583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44</xdr:row>
      <xdr:rowOff>38100</xdr:rowOff>
    </xdr:from>
    <xdr:to>
      <xdr:col>7</xdr:col>
      <xdr:colOff>6276975</xdr:colOff>
      <xdr:row>48</xdr:row>
      <xdr:rowOff>428625</xdr:rowOff>
    </xdr:to>
    <xdr:graphicFrame macro="">
      <xdr:nvGraphicFramePr>
        <xdr:cNvPr id="20" name="G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453496</xdr:colOff>
      <xdr:row>45</xdr:row>
      <xdr:rowOff>25400</xdr:rowOff>
    </xdr:from>
    <xdr:to>
      <xdr:col>6</xdr:col>
      <xdr:colOff>2242079</xdr:colOff>
      <xdr:row>48</xdr:row>
      <xdr:rowOff>441325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396" y="26352500"/>
          <a:ext cx="1788583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49</xdr:row>
      <xdr:rowOff>38100</xdr:rowOff>
    </xdr:from>
    <xdr:to>
      <xdr:col>7</xdr:col>
      <xdr:colOff>6276975</xdr:colOff>
      <xdr:row>53</xdr:row>
      <xdr:rowOff>428625</xdr:rowOff>
    </xdr:to>
    <xdr:graphicFrame macro="">
      <xdr:nvGraphicFramePr>
        <xdr:cNvPr id="22" name="G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319352</xdr:colOff>
      <xdr:row>50</xdr:row>
      <xdr:rowOff>25400</xdr:rowOff>
    </xdr:from>
    <xdr:to>
      <xdr:col>6</xdr:col>
      <xdr:colOff>2376223</xdr:colOff>
      <xdr:row>53</xdr:row>
      <xdr:rowOff>441325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3252" y="28686125"/>
          <a:ext cx="2056871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54</xdr:row>
      <xdr:rowOff>38100</xdr:rowOff>
    </xdr:from>
    <xdr:to>
      <xdr:col>7</xdr:col>
      <xdr:colOff>6276975</xdr:colOff>
      <xdr:row>58</xdr:row>
      <xdr:rowOff>428625</xdr:rowOff>
    </xdr:to>
    <xdr:graphicFrame macro="">
      <xdr:nvGraphicFramePr>
        <xdr:cNvPr id="24" name="G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384704</xdr:colOff>
      <xdr:row>55</xdr:row>
      <xdr:rowOff>25400</xdr:rowOff>
    </xdr:from>
    <xdr:to>
      <xdr:col>6</xdr:col>
      <xdr:colOff>2310871</xdr:colOff>
      <xdr:row>58</xdr:row>
      <xdr:rowOff>441325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8604" y="31019750"/>
          <a:ext cx="1926167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59</xdr:row>
      <xdr:rowOff>38100</xdr:rowOff>
    </xdr:from>
    <xdr:to>
      <xdr:col>7</xdr:col>
      <xdr:colOff>6276975</xdr:colOff>
      <xdr:row>63</xdr:row>
      <xdr:rowOff>428625</xdr:rowOff>
    </xdr:to>
    <xdr:graphicFrame macro="">
      <xdr:nvGraphicFramePr>
        <xdr:cNvPr id="26" name="G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</xdr:col>
      <xdr:colOff>384704</xdr:colOff>
      <xdr:row>60</xdr:row>
      <xdr:rowOff>25400</xdr:rowOff>
    </xdr:from>
    <xdr:to>
      <xdr:col>6</xdr:col>
      <xdr:colOff>2310871</xdr:colOff>
      <xdr:row>63</xdr:row>
      <xdr:rowOff>441325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8604" y="33353375"/>
          <a:ext cx="1926167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64</xdr:row>
      <xdr:rowOff>38100</xdr:rowOff>
    </xdr:from>
    <xdr:to>
      <xdr:col>7</xdr:col>
      <xdr:colOff>6276975</xdr:colOff>
      <xdr:row>68</xdr:row>
      <xdr:rowOff>428625</xdr:rowOff>
    </xdr:to>
    <xdr:graphicFrame macro="">
      <xdr:nvGraphicFramePr>
        <xdr:cNvPr id="28" name="G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</xdr:col>
      <xdr:colOff>384704</xdr:colOff>
      <xdr:row>65</xdr:row>
      <xdr:rowOff>25400</xdr:rowOff>
    </xdr:from>
    <xdr:to>
      <xdr:col>6</xdr:col>
      <xdr:colOff>2310871</xdr:colOff>
      <xdr:row>68</xdr:row>
      <xdr:rowOff>441325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8604" y="35687000"/>
          <a:ext cx="1926167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69</xdr:row>
      <xdr:rowOff>38100</xdr:rowOff>
    </xdr:from>
    <xdr:to>
      <xdr:col>7</xdr:col>
      <xdr:colOff>6276975</xdr:colOff>
      <xdr:row>73</xdr:row>
      <xdr:rowOff>428625</xdr:rowOff>
    </xdr:to>
    <xdr:graphicFrame macro="">
      <xdr:nvGraphicFramePr>
        <xdr:cNvPr id="30" name="G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6</xdr:col>
      <xdr:colOff>353748</xdr:colOff>
      <xdr:row>70</xdr:row>
      <xdr:rowOff>25400</xdr:rowOff>
    </xdr:from>
    <xdr:to>
      <xdr:col>6</xdr:col>
      <xdr:colOff>2341827</xdr:colOff>
      <xdr:row>73</xdr:row>
      <xdr:rowOff>441325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7648" y="38020625"/>
          <a:ext cx="1988079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74</xdr:row>
      <xdr:rowOff>38100</xdr:rowOff>
    </xdr:from>
    <xdr:to>
      <xdr:col>7</xdr:col>
      <xdr:colOff>6276975</xdr:colOff>
      <xdr:row>78</xdr:row>
      <xdr:rowOff>428625</xdr:rowOff>
    </xdr:to>
    <xdr:graphicFrame macro="">
      <xdr:nvGraphicFramePr>
        <xdr:cNvPr id="32" name="G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</xdr:col>
      <xdr:colOff>353748</xdr:colOff>
      <xdr:row>75</xdr:row>
      <xdr:rowOff>25400</xdr:rowOff>
    </xdr:from>
    <xdr:to>
      <xdr:col>6</xdr:col>
      <xdr:colOff>2341827</xdr:colOff>
      <xdr:row>78</xdr:row>
      <xdr:rowOff>441325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7648" y="40354250"/>
          <a:ext cx="1988079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79</xdr:row>
      <xdr:rowOff>38100</xdr:rowOff>
    </xdr:from>
    <xdr:to>
      <xdr:col>7</xdr:col>
      <xdr:colOff>6276975</xdr:colOff>
      <xdr:row>83</xdr:row>
      <xdr:rowOff>428625</xdr:rowOff>
    </xdr:to>
    <xdr:graphicFrame macro="">
      <xdr:nvGraphicFramePr>
        <xdr:cNvPr id="34" name="G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6</xdr:col>
      <xdr:colOff>353748</xdr:colOff>
      <xdr:row>80</xdr:row>
      <xdr:rowOff>25400</xdr:rowOff>
    </xdr:from>
    <xdr:to>
      <xdr:col>6</xdr:col>
      <xdr:colOff>2341827</xdr:colOff>
      <xdr:row>83</xdr:row>
      <xdr:rowOff>441325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7648" y="42687875"/>
          <a:ext cx="1988079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84</xdr:row>
      <xdr:rowOff>38100</xdr:rowOff>
    </xdr:from>
    <xdr:to>
      <xdr:col>7</xdr:col>
      <xdr:colOff>6276975</xdr:colOff>
      <xdr:row>88</xdr:row>
      <xdr:rowOff>428625</xdr:rowOff>
    </xdr:to>
    <xdr:graphicFrame macro="">
      <xdr:nvGraphicFramePr>
        <xdr:cNvPr id="36" name="G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6</xdr:col>
      <xdr:colOff>388143</xdr:colOff>
      <xdr:row>85</xdr:row>
      <xdr:rowOff>25400</xdr:rowOff>
    </xdr:from>
    <xdr:to>
      <xdr:col>6</xdr:col>
      <xdr:colOff>2307431</xdr:colOff>
      <xdr:row>88</xdr:row>
      <xdr:rowOff>441325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043" y="45021500"/>
          <a:ext cx="1919288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89</xdr:row>
      <xdr:rowOff>38100</xdr:rowOff>
    </xdr:from>
    <xdr:to>
      <xdr:col>7</xdr:col>
      <xdr:colOff>6276975</xdr:colOff>
      <xdr:row>93</xdr:row>
      <xdr:rowOff>428625</xdr:rowOff>
    </xdr:to>
    <xdr:graphicFrame macro="">
      <xdr:nvGraphicFramePr>
        <xdr:cNvPr id="38" name="G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388143</xdr:colOff>
      <xdr:row>90</xdr:row>
      <xdr:rowOff>25400</xdr:rowOff>
    </xdr:from>
    <xdr:to>
      <xdr:col>6</xdr:col>
      <xdr:colOff>2307431</xdr:colOff>
      <xdr:row>93</xdr:row>
      <xdr:rowOff>441325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043" y="47355125"/>
          <a:ext cx="1919288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94</xdr:row>
      <xdr:rowOff>38100</xdr:rowOff>
    </xdr:from>
    <xdr:to>
      <xdr:col>7</xdr:col>
      <xdr:colOff>6276975</xdr:colOff>
      <xdr:row>98</xdr:row>
      <xdr:rowOff>428625</xdr:rowOff>
    </xdr:to>
    <xdr:graphicFrame macro="">
      <xdr:nvGraphicFramePr>
        <xdr:cNvPr id="40" name="G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6</xdr:col>
      <xdr:colOff>388143</xdr:colOff>
      <xdr:row>95</xdr:row>
      <xdr:rowOff>25400</xdr:rowOff>
    </xdr:from>
    <xdr:to>
      <xdr:col>6</xdr:col>
      <xdr:colOff>2307431</xdr:colOff>
      <xdr:row>98</xdr:row>
      <xdr:rowOff>441325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043" y="49688750"/>
          <a:ext cx="1919288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99</xdr:row>
      <xdr:rowOff>38100</xdr:rowOff>
    </xdr:from>
    <xdr:to>
      <xdr:col>7</xdr:col>
      <xdr:colOff>6276975</xdr:colOff>
      <xdr:row>103</xdr:row>
      <xdr:rowOff>428625</xdr:rowOff>
    </xdr:to>
    <xdr:graphicFrame macro="">
      <xdr:nvGraphicFramePr>
        <xdr:cNvPr id="42" name="G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</xdr:col>
      <xdr:colOff>398463</xdr:colOff>
      <xdr:row>100</xdr:row>
      <xdr:rowOff>25400</xdr:rowOff>
    </xdr:from>
    <xdr:to>
      <xdr:col>6</xdr:col>
      <xdr:colOff>2297113</xdr:colOff>
      <xdr:row>103</xdr:row>
      <xdr:rowOff>441325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2363" y="52022375"/>
          <a:ext cx="1898650" cy="1816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104"/>
  <sheetViews>
    <sheetView tabSelected="1" topLeftCell="E1" zoomScale="85" zoomScaleNormal="85" zoomScaleSheetLayoutView="85" workbookViewId="0">
      <selection sqref="A1:H1"/>
    </sheetView>
  </sheetViews>
  <sheetFormatPr defaultColWidth="11.42578125" defaultRowHeight="15" x14ac:dyDescent="0.25"/>
  <cols>
    <col min="1" max="1" width="7.28515625" style="1" customWidth="1"/>
    <col min="2" max="6" width="12.140625" style="1" customWidth="1"/>
    <col min="7" max="7" width="40.42578125" style="1" customWidth="1"/>
    <col min="8" max="8" width="94.7109375" style="1" customWidth="1"/>
    <col min="9" max="9" width="11.42578125" style="2"/>
    <col min="10" max="10" width="20.140625" style="1" customWidth="1"/>
    <col min="11" max="11" width="20.140625" style="30" customWidth="1"/>
    <col min="12" max="13" width="20.140625" style="1" customWidth="1"/>
    <col min="14" max="14" width="20.140625" style="9" customWidth="1"/>
    <col min="15" max="15" width="20.140625" style="1" customWidth="1"/>
    <col min="16" max="16384" width="11.42578125" style="1"/>
  </cols>
  <sheetData>
    <row r="1" spans="1:16" ht="46.5" x14ac:dyDescent="0.25">
      <c r="A1" s="35" t="str">
        <f>data!B8</f>
        <v>Part Model N - Cep Report</v>
      </c>
      <c r="B1" s="35"/>
      <c r="C1" s="35"/>
      <c r="D1" s="35"/>
      <c r="E1" s="35"/>
      <c r="F1" s="35"/>
      <c r="G1" s="35"/>
      <c r="H1" s="35"/>
      <c r="I1" s="7"/>
      <c r="J1" s="6"/>
      <c r="K1" s="6"/>
      <c r="L1" s="6"/>
      <c r="M1" s="6"/>
    </row>
    <row r="2" spans="1:16" ht="21" customHeight="1" x14ac:dyDescent="0.25"/>
    <row r="3" spans="1:16" x14ac:dyDescent="0.25">
      <c r="A3" s="25" t="s">
        <v>0</v>
      </c>
      <c r="B3" s="31" t="str">
        <f>data!A1</f>
        <v>15/06/2026</v>
      </c>
      <c r="D3" s="25" t="s">
        <v>1</v>
      </c>
      <c r="E3" s="24">
        <f>data!B1</f>
        <v>0.49791666666666662</v>
      </c>
      <c r="F3" s="3"/>
      <c r="G3" s="25" t="s">
        <v>3</v>
      </c>
      <c r="H3" s="10">
        <f>(COUNTA(data!A:A)-1)/7</f>
        <v>20</v>
      </c>
      <c r="M3" s="4"/>
    </row>
    <row r="4" spans="1:16" ht="300" customHeight="1" thickBot="1" x14ac:dyDescent="0.3">
      <c r="A4" s="44" t="s">
        <v>2</v>
      </c>
      <c r="B4" s="44"/>
      <c r="C4" s="44"/>
      <c r="D4" s="44"/>
      <c r="E4" s="44"/>
      <c r="F4" s="44"/>
      <c r="G4" s="44"/>
      <c r="H4" s="44"/>
      <c r="I4" s="8"/>
      <c r="J4" s="26" t="s">
        <v>19</v>
      </c>
      <c r="K4" s="26" t="s">
        <v>26</v>
      </c>
      <c r="L4" s="26" t="s">
        <v>28</v>
      </c>
      <c r="M4" s="26" t="s">
        <v>27</v>
      </c>
      <c r="N4" s="26" t="s">
        <v>20</v>
      </c>
      <c r="O4" s="26" t="s">
        <v>21</v>
      </c>
      <c r="P4" s="27" t="s">
        <v>22</v>
      </c>
    </row>
    <row r="5" spans="1:16" s="34" customFormat="1" ht="36.75" customHeight="1" thickBot="1" x14ac:dyDescent="0.3">
      <c r="A5" s="29" t="s">
        <v>4</v>
      </c>
      <c r="B5" s="11" t="s">
        <v>34</v>
      </c>
      <c r="C5" s="19" t="s">
        <v>16</v>
      </c>
      <c r="D5" s="39" t="str">
        <f ca="1">OFFSET(INDEX(data!E:E,MATCH(B5,data!E:E,0)),0,1)</f>
        <v>Upper Part Inboard LH Hole - Pos X</v>
      </c>
      <c r="E5" s="39"/>
      <c r="F5" s="39"/>
      <c r="G5" s="40"/>
      <c r="H5" s="36">
        <f ca="1">OFFSET(INDEX(data!E:E,MATCH(B5,data!E:E,0)),0,3)</f>
        <v>62</v>
      </c>
      <c r="I5" s="2"/>
      <c r="J5" s="32" t="str">
        <f ca="1">OFFSET(INDEX(data!E:E,MATCH(B5,data!E:E,0)),0,-2)</f>
        <v>PART01</v>
      </c>
      <c r="K5" s="32" t="str">
        <f ca="1">OFFSET(INDEX(data!E:E,MATCH(B5,data!E:E,0)),0,-1)</f>
        <v>Upper Sub-Assembly</v>
      </c>
      <c r="L5" s="34" t="str">
        <f>B5</f>
        <v>PART01_01L_X</v>
      </c>
      <c r="M5" s="34" t="str">
        <f ca="1">B6</f>
        <v>Pos X</v>
      </c>
      <c r="N5" s="33">
        <f ca="1">F7</f>
        <v>0.76532258064517578</v>
      </c>
      <c r="O5" s="33">
        <f ca="1">F8</f>
        <v>2.1561263198124223</v>
      </c>
      <c r="P5" s="33">
        <f ca="1">F9</f>
        <v>1.6060822667204795</v>
      </c>
    </row>
    <row r="6" spans="1:16" s="34" customFormat="1" ht="36.75" customHeight="1" x14ac:dyDescent="0.25">
      <c r="A6" s="17" t="s">
        <v>5</v>
      </c>
      <c r="B6" s="12" t="str">
        <f ca="1">OFFSET(INDEX(data!E:E,MATCH(B5,data!E:E,0)),0,2)</f>
        <v>Pos X</v>
      </c>
      <c r="C6" s="20" t="s">
        <v>9</v>
      </c>
      <c r="D6" s="22">
        <f ca="1">OFFSET(INDEX(data!E:E,MATCH(B5,data!E:E,0)),-4,(H5-5)-(B7-1))</f>
        <v>226.2</v>
      </c>
      <c r="E6" s="20" t="s">
        <v>12</v>
      </c>
      <c r="F6" s="22">
        <f ca="1">AVERAGE(OFFSET(INDEX(data!E:E,MATCH(B5,data!E:E,0)),-1,(H5-5)-(B7-1),1,B7))</f>
        <v>226.96532258064516</v>
      </c>
      <c r="G6" s="41"/>
      <c r="H6" s="37"/>
      <c r="I6" s="2"/>
      <c r="J6" s="32" t="str">
        <f ca="1">J5</f>
        <v>PART01</v>
      </c>
      <c r="K6" s="32" t="str">
        <f ca="1">K5</f>
        <v>Upper Sub-Assembly</v>
      </c>
      <c r="L6" s="34" t="str">
        <f>L5</f>
        <v>PART01_01L_X</v>
      </c>
      <c r="M6" s="34" t="str">
        <f ca="1">M5</f>
        <v>Pos X</v>
      </c>
      <c r="N6" s="33">
        <f t="shared" ref="N6:P9" ca="1" si="0">N5</f>
        <v>0.76532258064517578</v>
      </c>
      <c r="O6" s="33">
        <f t="shared" ca="1" si="0"/>
        <v>2.1561263198124223</v>
      </c>
      <c r="P6" s="33">
        <f t="shared" ca="1" si="0"/>
        <v>1.6060822667204795</v>
      </c>
    </row>
    <row r="7" spans="1:16" s="34" customFormat="1" ht="36.75" customHeight="1" x14ac:dyDescent="0.25">
      <c r="A7" s="17" t="s">
        <v>6</v>
      </c>
      <c r="B7" s="21">
        <f ca="1">H5</f>
        <v>62</v>
      </c>
      <c r="C7" s="17" t="s">
        <v>10</v>
      </c>
      <c r="D7" s="15">
        <f ca="1">OFFSET(INDEX(data!E:E,MATCH(B5,data!E:E,0)),-3,(H5-5)-(B7-1))</f>
        <v>223.2</v>
      </c>
      <c r="E7" s="17" t="s">
        <v>13</v>
      </c>
      <c r="F7" s="15">
        <f ca="1">F6-D6</f>
        <v>0.76532258064517578</v>
      </c>
      <c r="G7" s="42"/>
      <c r="H7" s="37"/>
      <c r="I7" s="2"/>
      <c r="J7" s="32" t="str">
        <f t="shared" ref="J7:L9" ca="1" si="1">J6</f>
        <v>PART01</v>
      </c>
      <c r="K7" s="32" t="str">
        <f t="shared" ca="1" si="1"/>
        <v>Upper Sub-Assembly</v>
      </c>
      <c r="L7" s="34" t="str">
        <f t="shared" si="1"/>
        <v>PART01_01L_X</v>
      </c>
      <c r="M7" s="34" t="str">
        <f ca="1">M6</f>
        <v>Pos X</v>
      </c>
      <c r="N7" s="33">
        <f t="shared" ca="1" si="0"/>
        <v>0.76532258064517578</v>
      </c>
      <c r="O7" s="33">
        <f t="shared" ca="1" si="0"/>
        <v>2.1561263198124223</v>
      </c>
      <c r="P7" s="33">
        <f t="shared" ca="1" si="0"/>
        <v>1.6060822667204795</v>
      </c>
    </row>
    <row r="8" spans="1:16" s="34" customFormat="1" ht="36.75" customHeight="1" x14ac:dyDescent="0.25">
      <c r="A8" s="17" t="s">
        <v>7</v>
      </c>
      <c r="B8" s="13">
        <f ca="1">OFFSET(INDEX(data!E:E,MATCH(B5,data!E:E,0)),-6,(H5-5)-(B7-1))</f>
        <v>46169</v>
      </c>
      <c r="C8" s="17" t="s">
        <v>11</v>
      </c>
      <c r="D8" s="15">
        <f ca="1">OFFSET(INDEX(data!E:E,MATCH(B5,data!E:E,0)),-2,(H5-5)-(B7-1))</f>
        <v>229.2</v>
      </c>
      <c r="E8" s="17" t="s">
        <v>14</v>
      </c>
      <c r="F8" s="15">
        <f ca="1">(D8-D7)/(6*_xlfn.STDEV.P(OFFSET(INDEX(data!E:E,MATCH(B5,data!E:E,0)),-1,(H5-5)-(B7-1),1,B7)))</f>
        <v>2.1561263198124223</v>
      </c>
      <c r="G8" s="42"/>
      <c r="H8" s="37"/>
      <c r="I8" s="2"/>
      <c r="J8" s="32" t="str">
        <f t="shared" ca="1" si="1"/>
        <v>PART01</v>
      </c>
      <c r="K8" s="32" t="str">
        <f t="shared" ca="1" si="1"/>
        <v>Upper Sub-Assembly</v>
      </c>
      <c r="L8" s="34" t="str">
        <f t="shared" si="1"/>
        <v>PART01_01L_X</v>
      </c>
      <c r="M8" s="34" t="str">
        <f ca="1">M7</f>
        <v>Pos X</v>
      </c>
      <c r="N8" s="33">
        <f t="shared" ca="1" si="0"/>
        <v>0.76532258064517578</v>
      </c>
      <c r="O8" s="33">
        <f t="shared" ca="1" si="0"/>
        <v>2.1561263198124223</v>
      </c>
      <c r="P8" s="33">
        <f t="shared" ca="1" si="0"/>
        <v>1.6060822667204795</v>
      </c>
    </row>
    <row r="9" spans="1:16" s="34" customFormat="1" ht="36.75" customHeight="1" thickBot="1" x14ac:dyDescent="0.3">
      <c r="A9" s="18" t="s">
        <v>8</v>
      </c>
      <c r="B9" s="14">
        <f ca="1">OFFSET(INDEX(data!E:E,MATCH(B5,data!E:E,0)),-6,H5-5)</f>
        <v>46186</v>
      </c>
      <c r="C9" s="18" t="s">
        <v>17</v>
      </c>
      <c r="D9" s="16">
        <f ca="1">OFFSET(INDEX(data!E:E,MATCH(B5,data!E:E,0)),-1,H5-5)</f>
        <v>227</v>
      </c>
      <c r="E9" s="18" t="s">
        <v>15</v>
      </c>
      <c r="F9" s="16">
        <f ca="1">MIN((D8-F6)/(3*_xlfn.STDEV.P(OFFSET(INDEX(data!E:E,MATCH(B5,data!E:E,0)),-1,(H5-5)-(B7-1),1,B7))),(F6-D7)/(3*_xlfn.STDEV.P(OFFSET(INDEX(data!E:E,MATCH(B5,data!E:E,0)),-1,(H5-5)-(B7-1),1,B7))))</f>
        <v>1.6060822667204795</v>
      </c>
      <c r="G9" s="43"/>
      <c r="H9" s="38"/>
      <c r="I9" s="2"/>
      <c r="J9" s="32" t="str">
        <f t="shared" ca="1" si="1"/>
        <v>PART01</v>
      </c>
      <c r="K9" s="32" t="str">
        <f t="shared" ca="1" si="1"/>
        <v>Upper Sub-Assembly</v>
      </c>
      <c r="L9" s="34" t="str">
        <f t="shared" si="1"/>
        <v>PART01_01L_X</v>
      </c>
      <c r="M9" s="34" t="str">
        <f ca="1">M8</f>
        <v>Pos X</v>
      </c>
      <c r="N9" s="33">
        <f t="shared" ca="1" si="0"/>
        <v>0.76532258064517578</v>
      </c>
      <c r="O9" s="33">
        <f t="shared" ca="1" si="0"/>
        <v>2.1561263198124223</v>
      </c>
      <c r="P9" s="33">
        <f t="shared" ca="1" si="0"/>
        <v>1.6060822667204795</v>
      </c>
    </row>
    <row r="10" spans="1:16" s="34" customFormat="1" ht="36.75" customHeight="1" thickBot="1" x14ac:dyDescent="0.3">
      <c r="A10" s="29" t="s">
        <v>4</v>
      </c>
      <c r="B10" s="11" t="s">
        <v>36</v>
      </c>
      <c r="C10" s="19" t="s">
        <v>16</v>
      </c>
      <c r="D10" s="39" t="str">
        <f ca="1">OFFSET(INDEX(data!E:E,MATCH(B10,data!E:E,0)),0,1)</f>
        <v>Upper Part Inboard LH Hole - Pos Y</v>
      </c>
      <c r="E10" s="39"/>
      <c r="F10" s="39"/>
      <c r="G10" s="40"/>
      <c r="H10" s="36">
        <f ca="1">OFFSET(INDEX(data!E:E,MATCH(B10,data!E:E,0)),0,3)</f>
        <v>62</v>
      </c>
      <c r="I10" s="2"/>
      <c r="J10" s="32" t="str">
        <f ca="1">OFFSET(INDEX(data!E:E,MATCH(B10,data!E:E,0)),0,-2)</f>
        <v>PART01</v>
      </c>
      <c r="K10" s="32" t="str">
        <f ca="1">OFFSET(INDEX(data!E:E,MATCH(B10,data!E:E,0)),0,-1)</f>
        <v>Upper Sub-Assembly</v>
      </c>
      <c r="L10" s="34" t="str">
        <f>B10</f>
        <v>PART01_01L_Y</v>
      </c>
      <c r="M10" s="34" t="str">
        <f ca="1">B11</f>
        <v>Pos Y</v>
      </c>
      <c r="N10" s="33">
        <f ca="1">F12</f>
        <v>-1.7030645161290749</v>
      </c>
      <c r="O10" s="33">
        <f ca="1">F13</f>
        <v>1.6053392602017411</v>
      </c>
      <c r="P10" s="33">
        <f ca="1">F14</f>
        <v>0.69400715006891267</v>
      </c>
    </row>
    <row r="11" spans="1:16" s="34" customFormat="1" ht="36.75" customHeight="1" x14ac:dyDescent="0.25">
      <c r="A11" s="17" t="s">
        <v>5</v>
      </c>
      <c r="B11" s="12" t="str">
        <f ca="1">OFFSET(INDEX(data!E:E,MATCH(B10,data!E:E,0)),0,2)</f>
        <v>Pos Y</v>
      </c>
      <c r="C11" s="20" t="s">
        <v>9</v>
      </c>
      <c r="D11" s="22">
        <f ca="1">OFFSET(INDEX(data!E:E,MATCH(B10,data!E:E,0)),-4,(H10-5)-(B12-1))</f>
        <v>-326</v>
      </c>
      <c r="E11" s="20" t="s">
        <v>12</v>
      </c>
      <c r="F11" s="22">
        <f ca="1">AVERAGE(OFFSET(INDEX(data!E:E,MATCH(B10,data!E:E,0)),-1,(H10-5)-(B12-1),1,B12))</f>
        <v>-327.70306451612907</v>
      </c>
      <c r="G11" s="41"/>
      <c r="H11" s="37"/>
      <c r="I11" s="2"/>
      <c r="J11" s="32" t="str">
        <f ca="1">J10</f>
        <v>PART01</v>
      </c>
      <c r="K11" s="32" t="str">
        <f ca="1">K10</f>
        <v>Upper Sub-Assembly</v>
      </c>
      <c r="L11" s="34" t="str">
        <f>L10</f>
        <v>PART01_01L_Y</v>
      </c>
      <c r="M11" s="34" t="str">
        <f ca="1">M10</f>
        <v>Pos Y</v>
      </c>
      <c r="N11" s="33">
        <f t="shared" ref="N11:P14" ca="1" si="2">N10</f>
        <v>-1.7030645161290749</v>
      </c>
      <c r="O11" s="33">
        <f t="shared" ca="1" si="2"/>
        <v>1.6053392602017411</v>
      </c>
      <c r="P11" s="33">
        <f t="shared" ca="1" si="2"/>
        <v>0.69400715006891267</v>
      </c>
    </row>
    <row r="12" spans="1:16" s="34" customFormat="1" ht="36.75" customHeight="1" x14ac:dyDescent="0.25">
      <c r="A12" s="17" t="s">
        <v>6</v>
      </c>
      <c r="B12" s="21">
        <f ca="1">H10</f>
        <v>62</v>
      </c>
      <c r="C12" s="17" t="s">
        <v>10</v>
      </c>
      <c r="D12" s="15">
        <f ca="1">OFFSET(INDEX(data!E:E,MATCH(B10,data!E:E,0)),-3,(H10-5)-(B12-1))</f>
        <v>-329</v>
      </c>
      <c r="E12" s="17" t="s">
        <v>13</v>
      </c>
      <c r="F12" s="15">
        <f ca="1">F11-D11</f>
        <v>-1.7030645161290749</v>
      </c>
      <c r="G12" s="42"/>
      <c r="H12" s="37"/>
      <c r="I12" s="2"/>
      <c r="J12" s="32" t="str">
        <f t="shared" ref="J12:L14" ca="1" si="3">J11</f>
        <v>PART01</v>
      </c>
      <c r="K12" s="32" t="str">
        <f t="shared" ca="1" si="3"/>
        <v>Upper Sub-Assembly</v>
      </c>
      <c r="L12" s="34" t="str">
        <f t="shared" si="3"/>
        <v>PART01_01L_Y</v>
      </c>
      <c r="M12" s="34" t="str">
        <f ca="1">M11</f>
        <v>Pos Y</v>
      </c>
      <c r="N12" s="33">
        <f t="shared" ca="1" si="2"/>
        <v>-1.7030645161290749</v>
      </c>
      <c r="O12" s="33">
        <f t="shared" ca="1" si="2"/>
        <v>1.6053392602017411</v>
      </c>
      <c r="P12" s="33">
        <f t="shared" ca="1" si="2"/>
        <v>0.69400715006891267</v>
      </c>
    </row>
    <row r="13" spans="1:16" s="34" customFormat="1" ht="36.75" customHeight="1" x14ac:dyDescent="0.25">
      <c r="A13" s="17" t="s">
        <v>7</v>
      </c>
      <c r="B13" s="13">
        <f ca="1">OFFSET(INDEX(data!E:E,MATCH(B10,data!E:E,0)),-6,(H10-5)-(B12-1))</f>
        <v>46169</v>
      </c>
      <c r="C13" s="17" t="s">
        <v>11</v>
      </c>
      <c r="D13" s="15">
        <f ca="1">OFFSET(INDEX(data!E:E,MATCH(B10,data!E:E,0)),-2,(H10-5)-(B12-1))</f>
        <v>-323</v>
      </c>
      <c r="E13" s="17" t="s">
        <v>14</v>
      </c>
      <c r="F13" s="15">
        <f ca="1">(D13-D12)/(6*_xlfn.STDEV.P(OFFSET(INDEX(data!E:E,MATCH(B10,data!E:E,0)),-1,(H10-5)-(B12-1),1,B12)))</f>
        <v>1.6053392602017411</v>
      </c>
      <c r="G13" s="42"/>
      <c r="H13" s="37"/>
      <c r="I13" s="2"/>
      <c r="J13" s="32" t="str">
        <f t="shared" ca="1" si="3"/>
        <v>PART01</v>
      </c>
      <c r="K13" s="32" t="str">
        <f t="shared" ca="1" si="3"/>
        <v>Upper Sub-Assembly</v>
      </c>
      <c r="L13" s="34" t="str">
        <f t="shared" si="3"/>
        <v>PART01_01L_Y</v>
      </c>
      <c r="M13" s="34" t="str">
        <f ca="1">M12</f>
        <v>Pos Y</v>
      </c>
      <c r="N13" s="33">
        <f t="shared" ca="1" si="2"/>
        <v>-1.7030645161290749</v>
      </c>
      <c r="O13" s="33">
        <f t="shared" ca="1" si="2"/>
        <v>1.6053392602017411</v>
      </c>
      <c r="P13" s="33">
        <f t="shared" ca="1" si="2"/>
        <v>0.69400715006891267</v>
      </c>
    </row>
    <row r="14" spans="1:16" s="34" customFormat="1" ht="36.75" customHeight="1" thickBot="1" x14ac:dyDescent="0.3">
      <c r="A14" s="18" t="s">
        <v>8</v>
      </c>
      <c r="B14" s="14">
        <f ca="1">OFFSET(INDEX(data!E:E,MATCH(B10,data!E:E,0)),-6,H10-5)</f>
        <v>46186</v>
      </c>
      <c r="C14" s="18" t="s">
        <v>17</v>
      </c>
      <c r="D14" s="16">
        <f ca="1">OFFSET(INDEX(data!E:E,MATCH(B10,data!E:E,0)),-1,H10-5)</f>
        <v>-327.89</v>
      </c>
      <c r="E14" s="18" t="s">
        <v>15</v>
      </c>
      <c r="F14" s="16">
        <f ca="1">MIN((D13-F11)/(3*_xlfn.STDEV.P(OFFSET(INDEX(data!E:E,MATCH(B10,data!E:E,0)),-1,(H10-5)-(B12-1),1,B12))),(F11-D12)/(3*_xlfn.STDEV.P(OFFSET(INDEX(data!E:E,MATCH(B10,data!E:E,0)),-1,(H10-5)-(B12-1),1,B12))))</f>
        <v>0.69400715006891267</v>
      </c>
      <c r="G14" s="43"/>
      <c r="H14" s="38"/>
      <c r="I14" s="2"/>
      <c r="J14" s="32" t="str">
        <f t="shared" ca="1" si="3"/>
        <v>PART01</v>
      </c>
      <c r="K14" s="32" t="str">
        <f t="shared" ca="1" si="3"/>
        <v>Upper Sub-Assembly</v>
      </c>
      <c r="L14" s="34" t="str">
        <f t="shared" si="3"/>
        <v>PART01_01L_Y</v>
      </c>
      <c r="M14" s="34" t="str">
        <f ca="1">M13</f>
        <v>Pos Y</v>
      </c>
      <c r="N14" s="33">
        <f t="shared" ca="1" si="2"/>
        <v>-1.7030645161290749</v>
      </c>
      <c r="O14" s="33">
        <f t="shared" ca="1" si="2"/>
        <v>1.6053392602017411</v>
      </c>
      <c r="P14" s="33">
        <f t="shared" ca="1" si="2"/>
        <v>0.69400715006891267</v>
      </c>
    </row>
    <row r="15" spans="1:16" s="34" customFormat="1" ht="36.75" customHeight="1" thickBot="1" x14ac:dyDescent="0.3">
      <c r="A15" s="29" t="s">
        <v>4</v>
      </c>
      <c r="B15" s="11" t="s">
        <v>38</v>
      </c>
      <c r="C15" s="19" t="s">
        <v>16</v>
      </c>
      <c r="D15" s="39" t="str">
        <f ca="1">OFFSET(INDEX(data!E:E,MATCH(B15,data!E:E,0)),0,1)</f>
        <v>Upper Part Inboard LH Hole - Pos Z</v>
      </c>
      <c r="E15" s="39"/>
      <c r="F15" s="39"/>
      <c r="G15" s="40"/>
      <c r="H15" s="36">
        <f ca="1">OFFSET(INDEX(data!E:E,MATCH(B15,data!E:E,0)),0,3)</f>
        <v>62</v>
      </c>
      <c r="I15" s="2"/>
      <c r="J15" s="32" t="str">
        <f ca="1">OFFSET(INDEX(data!E:E,MATCH(B15,data!E:E,0)),0,-2)</f>
        <v>PART01</v>
      </c>
      <c r="K15" s="32" t="str">
        <f ca="1">OFFSET(INDEX(data!E:E,MATCH(B15,data!E:E,0)),0,-1)</f>
        <v>Upper Sub-Assembly</v>
      </c>
      <c r="L15" s="34" t="str">
        <f>B15</f>
        <v>PART01_01L_Z</v>
      </c>
      <c r="M15" s="34" t="str">
        <f ca="1">B16</f>
        <v>Pos Z</v>
      </c>
      <c r="N15" s="33">
        <f ca="1">F17</f>
        <v>-0.43935483870961889</v>
      </c>
      <c r="O15" s="33">
        <f ca="1">F18</f>
        <v>2.834179178914257</v>
      </c>
      <c r="P15" s="33">
        <f ca="1">F19</f>
        <v>2.419109066905579</v>
      </c>
    </row>
    <row r="16" spans="1:16" s="34" customFormat="1" ht="36.75" customHeight="1" x14ac:dyDescent="0.25">
      <c r="A16" s="17" t="s">
        <v>5</v>
      </c>
      <c r="B16" s="12" t="str">
        <f ca="1">OFFSET(INDEX(data!E:E,MATCH(B15,data!E:E,0)),0,2)</f>
        <v>Pos Z</v>
      </c>
      <c r="C16" s="20" t="s">
        <v>9</v>
      </c>
      <c r="D16" s="22">
        <f ca="1">OFFSET(INDEX(data!E:E,MATCH(B15,data!E:E,0)),-4,(H15-5)-(B17-1))</f>
        <v>990.2</v>
      </c>
      <c r="E16" s="20" t="s">
        <v>12</v>
      </c>
      <c r="F16" s="22">
        <f ca="1">AVERAGE(OFFSET(INDEX(data!E:E,MATCH(B15,data!E:E,0)),-1,(H15-5)-(B17-1),1,B17))</f>
        <v>989.76064516129043</v>
      </c>
      <c r="G16" s="41"/>
      <c r="H16" s="37"/>
      <c r="I16" s="2"/>
      <c r="J16" s="32" t="str">
        <f ca="1">J15</f>
        <v>PART01</v>
      </c>
      <c r="K16" s="32" t="str">
        <f ca="1">K15</f>
        <v>Upper Sub-Assembly</v>
      </c>
      <c r="L16" s="34" t="str">
        <f>L15</f>
        <v>PART01_01L_Z</v>
      </c>
      <c r="M16" s="34" t="str">
        <f ca="1">M15</f>
        <v>Pos Z</v>
      </c>
      <c r="N16" s="33">
        <f t="shared" ref="N16:P19" ca="1" si="4">N15</f>
        <v>-0.43935483870961889</v>
      </c>
      <c r="O16" s="33">
        <f t="shared" ca="1" si="4"/>
        <v>2.834179178914257</v>
      </c>
      <c r="P16" s="33">
        <f t="shared" ca="1" si="4"/>
        <v>2.419109066905579</v>
      </c>
    </row>
    <row r="17" spans="1:16" s="34" customFormat="1" ht="36.75" customHeight="1" x14ac:dyDescent="0.25">
      <c r="A17" s="17" t="s">
        <v>6</v>
      </c>
      <c r="B17" s="21">
        <f ca="1">H15</f>
        <v>62</v>
      </c>
      <c r="C17" s="17" t="s">
        <v>10</v>
      </c>
      <c r="D17" s="15">
        <f ca="1">OFFSET(INDEX(data!E:E,MATCH(B15,data!E:E,0)),-3,(H15-5)-(B17-1))</f>
        <v>987.2</v>
      </c>
      <c r="E17" s="17" t="s">
        <v>13</v>
      </c>
      <c r="F17" s="15">
        <f ca="1">F16-D16</f>
        <v>-0.43935483870961889</v>
      </c>
      <c r="G17" s="42"/>
      <c r="H17" s="37"/>
      <c r="I17" s="2"/>
      <c r="J17" s="32" t="str">
        <f t="shared" ref="J17:L19" ca="1" si="5">J16</f>
        <v>PART01</v>
      </c>
      <c r="K17" s="32" t="str">
        <f t="shared" ca="1" si="5"/>
        <v>Upper Sub-Assembly</v>
      </c>
      <c r="L17" s="34" t="str">
        <f t="shared" si="5"/>
        <v>PART01_01L_Z</v>
      </c>
      <c r="M17" s="34" t="str">
        <f ca="1">M16</f>
        <v>Pos Z</v>
      </c>
      <c r="N17" s="33">
        <f t="shared" ca="1" si="4"/>
        <v>-0.43935483870961889</v>
      </c>
      <c r="O17" s="33">
        <f t="shared" ca="1" si="4"/>
        <v>2.834179178914257</v>
      </c>
      <c r="P17" s="33">
        <f t="shared" ca="1" si="4"/>
        <v>2.419109066905579</v>
      </c>
    </row>
    <row r="18" spans="1:16" s="34" customFormat="1" ht="36.75" customHeight="1" x14ac:dyDescent="0.25">
      <c r="A18" s="17" t="s">
        <v>7</v>
      </c>
      <c r="B18" s="13">
        <f ca="1">OFFSET(INDEX(data!E:E,MATCH(B15,data!E:E,0)),-6,(H15-5)-(B17-1))</f>
        <v>46169</v>
      </c>
      <c r="C18" s="17" t="s">
        <v>11</v>
      </c>
      <c r="D18" s="15">
        <f ca="1">OFFSET(INDEX(data!E:E,MATCH(B15,data!E:E,0)),-2,(H15-5)-(B17-1))</f>
        <v>993.2</v>
      </c>
      <c r="E18" s="17" t="s">
        <v>14</v>
      </c>
      <c r="F18" s="15">
        <f ca="1">(D18-D17)/(6*_xlfn.STDEV.P(OFFSET(INDEX(data!E:E,MATCH(B15,data!E:E,0)),-1,(H15-5)-(B17-1),1,B17)))</f>
        <v>2.834179178914257</v>
      </c>
      <c r="G18" s="42"/>
      <c r="H18" s="37"/>
      <c r="I18" s="2"/>
      <c r="J18" s="32" t="str">
        <f t="shared" ca="1" si="5"/>
        <v>PART01</v>
      </c>
      <c r="K18" s="32" t="str">
        <f t="shared" ca="1" si="5"/>
        <v>Upper Sub-Assembly</v>
      </c>
      <c r="L18" s="34" t="str">
        <f t="shared" si="5"/>
        <v>PART01_01L_Z</v>
      </c>
      <c r="M18" s="34" t="str">
        <f ca="1">M17</f>
        <v>Pos Z</v>
      </c>
      <c r="N18" s="33">
        <f t="shared" ca="1" si="4"/>
        <v>-0.43935483870961889</v>
      </c>
      <c r="O18" s="33">
        <f t="shared" ca="1" si="4"/>
        <v>2.834179178914257</v>
      </c>
      <c r="P18" s="33">
        <f t="shared" ca="1" si="4"/>
        <v>2.419109066905579</v>
      </c>
    </row>
    <row r="19" spans="1:16" s="34" customFormat="1" ht="36.75" customHeight="1" thickBot="1" x14ac:dyDescent="0.3">
      <c r="A19" s="18" t="s">
        <v>8</v>
      </c>
      <c r="B19" s="14">
        <f ca="1">OFFSET(INDEX(data!E:E,MATCH(B15,data!E:E,0)),-6,H15-5)</f>
        <v>46186</v>
      </c>
      <c r="C19" s="18" t="s">
        <v>17</v>
      </c>
      <c r="D19" s="16">
        <f ca="1">OFFSET(INDEX(data!E:E,MATCH(B15,data!E:E,0)),-1,H15-5)</f>
        <v>989.09</v>
      </c>
      <c r="E19" s="18" t="s">
        <v>15</v>
      </c>
      <c r="F19" s="16">
        <f ca="1">MIN((D18-F16)/(3*_xlfn.STDEV.P(OFFSET(INDEX(data!E:E,MATCH(B15,data!E:E,0)),-1,(H15-5)-(B17-1),1,B17))),(F16-D17)/(3*_xlfn.STDEV.P(OFFSET(INDEX(data!E:E,MATCH(B15,data!E:E,0)),-1,(H15-5)-(B17-1),1,B17))))</f>
        <v>2.419109066905579</v>
      </c>
      <c r="G19" s="43"/>
      <c r="H19" s="38"/>
      <c r="I19" s="2"/>
      <c r="J19" s="32" t="str">
        <f t="shared" ca="1" si="5"/>
        <v>PART01</v>
      </c>
      <c r="K19" s="32" t="str">
        <f t="shared" ca="1" si="5"/>
        <v>Upper Sub-Assembly</v>
      </c>
      <c r="L19" s="34" t="str">
        <f t="shared" si="5"/>
        <v>PART01_01L_Z</v>
      </c>
      <c r="M19" s="34" t="str">
        <f ca="1">M18</f>
        <v>Pos Z</v>
      </c>
      <c r="N19" s="33">
        <f t="shared" ca="1" si="4"/>
        <v>-0.43935483870961889</v>
      </c>
      <c r="O19" s="33">
        <f t="shared" ca="1" si="4"/>
        <v>2.834179178914257</v>
      </c>
      <c r="P19" s="33">
        <f t="shared" ca="1" si="4"/>
        <v>2.419109066905579</v>
      </c>
    </row>
    <row r="20" spans="1:16" s="34" customFormat="1" ht="36.75" customHeight="1" thickBot="1" x14ac:dyDescent="0.3">
      <c r="A20" s="29" t="s">
        <v>4</v>
      </c>
      <c r="B20" s="11" t="s">
        <v>40</v>
      </c>
      <c r="C20" s="19" t="s">
        <v>16</v>
      </c>
      <c r="D20" s="39" t="str">
        <f ca="1">OFFSET(INDEX(data!E:E,MATCH(B20,data!E:E,0)),0,1)</f>
        <v>Upper Part Inboard RH Hole - Pos X</v>
      </c>
      <c r="E20" s="39"/>
      <c r="F20" s="39"/>
      <c r="G20" s="40"/>
      <c r="H20" s="36">
        <f ca="1">OFFSET(INDEX(data!E:E,MATCH(B20,data!E:E,0)),0,3)</f>
        <v>62</v>
      </c>
      <c r="I20" s="2"/>
      <c r="J20" s="32" t="str">
        <f ca="1">OFFSET(INDEX(data!E:E,MATCH(B20,data!E:E,0)),0,-2)</f>
        <v>PART01</v>
      </c>
      <c r="K20" s="32" t="str">
        <f ca="1">OFFSET(INDEX(data!E:E,MATCH(B20,data!E:E,0)),0,-1)</f>
        <v>Upper Sub-Assembly</v>
      </c>
      <c r="L20" s="34" t="str">
        <f>B20</f>
        <v>PART01_01R_X</v>
      </c>
      <c r="M20" s="34" t="str">
        <f ca="1">B21</f>
        <v>Pos X</v>
      </c>
      <c r="N20" s="33">
        <f ca="1">F22</f>
        <v>0.6977419354839185</v>
      </c>
      <c r="O20" s="33">
        <f ca="1">F23</f>
        <v>1.7252763749785354</v>
      </c>
      <c r="P20" s="33">
        <f ca="1">F24</f>
        <v>1.3240104826044681</v>
      </c>
    </row>
    <row r="21" spans="1:16" s="34" customFormat="1" ht="36.75" customHeight="1" x14ac:dyDescent="0.25">
      <c r="A21" s="17" t="s">
        <v>5</v>
      </c>
      <c r="B21" s="12" t="str">
        <f ca="1">OFFSET(INDEX(data!E:E,MATCH(B20,data!E:E,0)),0,2)</f>
        <v>Pos X</v>
      </c>
      <c r="C21" s="20" t="s">
        <v>9</v>
      </c>
      <c r="D21" s="22">
        <f ca="1">OFFSET(INDEX(data!E:E,MATCH(B20,data!E:E,0)),-4,(H20-5)-(B22-1))</f>
        <v>226.2</v>
      </c>
      <c r="E21" s="20" t="s">
        <v>12</v>
      </c>
      <c r="F21" s="22">
        <f ca="1">AVERAGE(OFFSET(INDEX(data!E:E,MATCH(B20,data!E:E,0)),-1,(H20-5)-(B22-1),1,B22))</f>
        <v>226.89774193548391</v>
      </c>
      <c r="G21" s="41"/>
      <c r="H21" s="37"/>
      <c r="I21" s="2"/>
      <c r="J21" s="32" t="str">
        <f ca="1">J20</f>
        <v>PART01</v>
      </c>
      <c r="K21" s="32" t="str">
        <f ca="1">K20</f>
        <v>Upper Sub-Assembly</v>
      </c>
      <c r="L21" s="34" t="str">
        <f>L20</f>
        <v>PART01_01R_X</v>
      </c>
      <c r="M21" s="34" t="str">
        <f ca="1">M20</f>
        <v>Pos X</v>
      </c>
      <c r="N21" s="33">
        <f t="shared" ref="N21:P24" ca="1" si="6">N20</f>
        <v>0.6977419354839185</v>
      </c>
      <c r="O21" s="33">
        <f t="shared" ca="1" si="6"/>
        <v>1.7252763749785354</v>
      </c>
      <c r="P21" s="33">
        <f t="shared" ca="1" si="6"/>
        <v>1.3240104826044681</v>
      </c>
    </row>
    <row r="22" spans="1:16" s="34" customFormat="1" ht="36.75" customHeight="1" x14ac:dyDescent="0.25">
      <c r="A22" s="17" t="s">
        <v>6</v>
      </c>
      <c r="B22" s="21">
        <f ca="1">H20</f>
        <v>62</v>
      </c>
      <c r="C22" s="17" t="s">
        <v>10</v>
      </c>
      <c r="D22" s="15">
        <f ca="1">OFFSET(INDEX(data!E:E,MATCH(B20,data!E:E,0)),-3,(H20-5)-(B22-1))</f>
        <v>223.2</v>
      </c>
      <c r="E22" s="17" t="s">
        <v>13</v>
      </c>
      <c r="F22" s="15">
        <f ca="1">F21-D21</f>
        <v>0.6977419354839185</v>
      </c>
      <c r="G22" s="42"/>
      <c r="H22" s="37"/>
      <c r="I22" s="2"/>
      <c r="J22" s="32" t="str">
        <f t="shared" ref="J22:L24" ca="1" si="7">J21</f>
        <v>PART01</v>
      </c>
      <c r="K22" s="32" t="str">
        <f t="shared" ca="1" si="7"/>
        <v>Upper Sub-Assembly</v>
      </c>
      <c r="L22" s="34" t="str">
        <f t="shared" si="7"/>
        <v>PART01_01R_X</v>
      </c>
      <c r="M22" s="34" t="str">
        <f ca="1">M21</f>
        <v>Pos X</v>
      </c>
      <c r="N22" s="33">
        <f t="shared" ca="1" si="6"/>
        <v>0.6977419354839185</v>
      </c>
      <c r="O22" s="33">
        <f t="shared" ca="1" si="6"/>
        <v>1.7252763749785354</v>
      </c>
      <c r="P22" s="33">
        <f t="shared" ca="1" si="6"/>
        <v>1.3240104826044681</v>
      </c>
    </row>
    <row r="23" spans="1:16" s="34" customFormat="1" ht="36.75" customHeight="1" x14ac:dyDescent="0.25">
      <c r="A23" s="17" t="s">
        <v>7</v>
      </c>
      <c r="B23" s="13">
        <f ca="1">OFFSET(INDEX(data!E:E,MATCH(B20,data!E:E,0)),-6,(H20-5)-(B22-1))</f>
        <v>46169</v>
      </c>
      <c r="C23" s="17" t="s">
        <v>11</v>
      </c>
      <c r="D23" s="15">
        <f ca="1">OFFSET(INDEX(data!E:E,MATCH(B20,data!E:E,0)),-2,(H20-5)-(B22-1))</f>
        <v>229.2</v>
      </c>
      <c r="E23" s="17" t="s">
        <v>14</v>
      </c>
      <c r="F23" s="15">
        <f ca="1">(D23-D22)/(6*_xlfn.STDEV.P(OFFSET(INDEX(data!E:E,MATCH(B20,data!E:E,0)),-1,(H20-5)-(B22-1),1,B22)))</f>
        <v>1.7252763749785354</v>
      </c>
      <c r="G23" s="42"/>
      <c r="H23" s="37"/>
      <c r="I23" s="2"/>
      <c r="J23" s="32" t="str">
        <f t="shared" ca="1" si="7"/>
        <v>PART01</v>
      </c>
      <c r="K23" s="32" t="str">
        <f t="shared" ca="1" si="7"/>
        <v>Upper Sub-Assembly</v>
      </c>
      <c r="L23" s="34" t="str">
        <f t="shared" si="7"/>
        <v>PART01_01R_X</v>
      </c>
      <c r="M23" s="34" t="str">
        <f ca="1">M22</f>
        <v>Pos X</v>
      </c>
      <c r="N23" s="33">
        <f t="shared" ca="1" si="6"/>
        <v>0.6977419354839185</v>
      </c>
      <c r="O23" s="33">
        <f t="shared" ca="1" si="6"/>
        <v>1.7252763749785354</v>
      </c>
      <c r="P23" s="33">
        <f t="shared" ca="1" si="6"/>
        <v>1.3240104826044681</v>
      </c>
    </row>
    <row r="24" spans="1:16" s="34" customFormat="1" ht="36.75" customHeight="1" thickBot="1" x14ac:dyDescent="0.3">
      <c r="A24" s="18" t="s">
        <v>8</v>
      </c>
      <c r="B24" s="14">
        <f ca="1">OFFSET(INDEX(data!E:E,MATCH(B20,data!E:E,0)),-6,H20-5)</f>
        <v>46186</v>
      </c>
      <c r="C24" s="18" t="s">
        <v>17</v>
      </c>
      <c r="D24" s="16">
        <f ca="1">OFFSET(INDEX(data!E:E,MATCH(B20,data!E:E,0)),-1,H20-5)</f>
        <v>226.98</v>
      </c>
      <c r="E24" s="18" t="s">
        <v>15</v>
      </c>
      <c r="F24" s="16">
        <f ca="1">MIN((D23-F21)/(3*_xlfn.STDEV.P(OFFSET(INDEX(data!E:E,MATCH(B20,data!E:E,0)),-1,(H20-5)-(B22-1),1,B22))),(F21-D22)/(3*_xlfn.STDEV.P(OFFSET(INDEX(data!E:E,MATCH(B20,data!E:E,0)),-1,(H20-5)-(B22-1),1,B22))))</f>
        <v>1.3240104826044681</v>
      </c>
      <c r="G24" s="43"/>
      <c r="H24" s="38"/>
      <c r="I24" s="2"/>
      <c r="J24" s="32" t="str">
        <f t="shared" ca="1" si="7"/>
        <v>PART01</v>
      </c>
      <c r="K24" s="32" t="str">
        <f t="shared" ca="1" si="7"/>
        <v>Upper Sub-Assembly</v>
      </c>
      <c r="L24" s="34" t="str">
        <f t="shared" si="7"/>
        <v>PART01_01R_X</v>
      </c>
      <c r="M24" s="34" t="str">
        <f ca="1">M23</f>
        <v>Pos X</v>
      </c>
      <c r="N24" s="33">
        <f t="shared" ca="1" si="6"/>
        <v>0.6977419354839185</v>
      </c>
      <c r="O24" s="33">
        <f t="shared" ca="1" si="6"/>
        <v>1.7252763749785354</v>
      </c>
      <c r="P24" s="33">
        <f t="shared" ca="1" si="6"/>
        <v>1.3240104826044681</v>
      </c>
    </row>
    <row r="25" spans="1:16" s="34" customFormat="1" ht="36.75" customHeight="1" thickBot="1" x14ac:dyDescent="0.3">
      <c r="A25" s="29" t="s">
        <v>4</v>
      </c>
      <c r="B25" s="11" t="s">
        <v>42</v>
      </c>
      <c r="C25" s="19" t="s">
        <v>16</v>
      </c>
      <c r="D25" s="39" t="str">
        <f ca="1">OFFSET(INDEX(data!E:E,MATCH(B25,data!E:E,0)),0,1)</f>
        <v>Upper Part Inboard RH Hole - Pos Y</v>
      </c>
      <c r="E25" s="39"/>
      <c r="F25" s="39"/>
      <c r="G25" s="40"/>
      <c r="H25" s="36">
        <f ca="1">OFFSET(INDEX(data!E:E,MATCH(B25,data!E:E,0)),0,3)</f>
        <v>62</v>
      </c>
      <c r="I25" s="2"/>
      <c r="J25" s="32" t="str">
        <f ca="1">OFFSET(INDEX(data!E:E,MATCH(B25,data!E:E,0)),0,-2)</f>
        <v>PART01</v>
      </c>
      <c r="K25" s="32" t="str">
        <f ca="1">OFFSET(INDEX(data!E:E,MATCH(B25,data!E:E,0)),0,-1)</f>
        <v>Upper Sub-Assembly</v>
      </c>
      <c r="L25" s="34" t="str">
        <f>B25</f>
        <v>PART01_01R_Y</v>
      </c>
      <c r="M25" s="34" t="str">
        <f ca="1">B26</f>
        <v>Pos Y</v>
      </c>
      <c r="N25" s="33">
        <f ca="1">F27</f>
        <v>1.4803225806451792</v>
      </c>
      <c r="O25" s="33">
        <f ca="1">F28</f>
        <v>1.4359881053410908</v>
      </c>
      <c r="P25" s="33">
        <f ca="1">F29</f>
        <v>0.72741289938298914</v>
      </c>
    </row>
    <row r="26" spans="1:16" s="34" customFormat="1" ht="36.75" customHeight="1" x14ac:dyDescent="0.25">
      <c r="A26" s="17" t="s">
        <v>5</v>
      </c>
      <c r="B26" s="12" t="str">
        <f ca="1">OFFSET(INDEX(data!E:E,MATCH(B25,data!E:E,0)),0,2)</f>
        <v>Pos Y</v>
      </c>
      <c r="C26" s="20" t="s">
        <v>9</v>
      </c>
      <c r="D26" s="22">
        <f ca="1">OFFSET(INDEX(data!E:E,MATCH(B25,data!E:E,0)),-4,(H25-5)-(B27-1))</f>
        <v>326</v>
      </c>
      <c r="E26" s="20" t="s">
        <v>12</v>
      </c>
      <c r="F26" s="22">
        <f ca="1">AVERAGE(OFFSET(INDEX(data!E:E,MATCH(B25,data!E:E,0)),-1,(H25-5)-(B27-1),1,B27))</f>
        <v>327.48032258064518</v>
      </c>
      <c r="G26" s="41"/>
      <c r="H26" s="37"/>
      <c r="I26" s="2"/>
      <c r="J26" s="32" t="str">
        <f ca="1">J25</f>
        <v>PART01</v>
      </c>
      <c r="K26" s="32" t="str">
        <f ca="1">K25</f>
        <v>Upper Sub-Assembly</v>
      </c>
      <c r="L26" s="34" t="str">
        <f>L25</f>
        <v>PART01_01R_Y</v>
      </c>
      <c r="M26" s="34" t="str">
        <f ca="1">M25</f>
        <v>Pos Y</v>
      </c>
      <c r="N26" s="33">
        <f t="shared" ref="N26:P29" ca="1" si="8">N25</f>
        <v>1.4803225806451792</v>
      </c>
      <c r="O26" s="33">
        <f t="shared" ca="1" si="8"/>
        <v>1.4359881053410908</v>
      </c>
      <c r="P26" s="33">
        <f t="shared" ca="1" si="8"/>
        <v>0.72741289938298914</v>
      </c>
    </row>
    <row r="27" spans="1:16" s="34" customFormat="1" ht="36.75" customHeight="1" x14ac:dyDescent="0.25">
      <c r="A27" s="17" t="s">
        <v>6</v>
      </c>
      <c r="B27" s="21">
        <f ca="1">H25</f>
        <v>62</v>
      </c>
      <c r="C27" s="17" t="s">
        <v>10</v>
      </c>
      <c r="D27" s="15">
        <f ca="1">OFFSET(INDEX(data!E:E,MATCH(B25,data!E:E,0)),-3,(H25-5)-(B27-1))</f>
        <v>323</v>
      </c>
      <c r="E27" s="17" t="s">
        <v>13</v>
      </c>
      <c r="F27" s="15">
        <f ca="1">F26-D26</f>
        <v>1.4803225806451792</v>
      </c>
      <c r="G27" s="42"/>
      <c r="H27" s="37"/>
      <c r="I27" s="2"/>
      <c r="J27" s="32" t="str">
        <f t="shared" ref="J27:L29" ca="1" si="9">J26</f>
        <v>PART01</v>
      </c>
      <c r="K27" s="32" t="str">
        <f t="shared" ca="1" si="9"/>
        <v>Upper Sub-Assembly</v>
      </c>
      <c r="L27" s="34" t="str">
        <f t="shared" si="9"/>
        <v>PART01_01R_Y</v>
      </c>
      <c r="M27" s="34" t="str">
        <f ca="1">M26</f>
        <v>Pos Y</v>
      </c>
      <c r="N27" s="33">
        <f t="shared" ca="1" si="8"/>
        <v>1.4803225806451792</v>
      </c>
      <c r="O27" s="33">
        <f t="shared" ca="1" si="8"/>
        <v>1.4359881053410908</v>
      </c>
      <c r="P27" s="33">
        <f t="shared" ca="1" si="8"/>
        <v>0.72741289938298914</v>
      </c>
    </row>
    <row r="28" spans="1:16" s="34" customFormat="1" ht="36.75" customHeight="1" x14ac:dyDescent="0.25">
      <c r="A28" s="17" t="s">
        <v>7</v>
      </c>
      <c r="B28" s="13">
        <f ca="1">OFFSET(INDEX(data!E:E,MATCH(B25,data!E:E,0)),-6,(H25-5)-(B27-1))</f>
        <v>46169</v>
      </c>
      <c r="C28" s="17" t="s">
        <v>11</v>
      </c>
      <c r="D28" s="15">
        <f ca="1">OFFSET(INDEX(data!E:E,MATCH(B25,data!E:E,0)),-2,(H25-5)-(B27-1))</f>
        <v>329</v>
      </c>
      <c r="E28" s="17" t="s">
        <v>14</v>
      </c>
      <c r="F28" s="15">
        <f ca="1">(D28-D27)/(6*_xlfn.STDEV.P(OFFSET(INDEX(data!E:E,MATCH(B25,data!E:E,0)),-1,(H25-5)-(B27-1),1,B27)))</f>
        <v>1.4359881053410908</v>
      </c>
      <c r="G28" s="42"/>
      <c r="H28" s="37"/>
      <c r="I28" s="2"/>
      <c r="J28" s="32" t="str">
        <f t="shared" ca="1" si="9"/>
        <v>PART01</v>
      </c>
      <c r="K28" s="32" t="str">
        <f t="shared" ca="1" si="9"/>
        <v>Upper Sub-Assembly</v>
      </c>
      <c r="L28" s="34" t="str">
        <f t="shared" si="9"/>
        <v>PART01_01R_Y</v>
      </c>
      <c r="M28" s="34" t="str">
        <f ca="1">M27</f>
        <v>Pos Y</v>
      </c>
      <c r="N28" s="33">
        <f t="shared" ca="1" si="8"/>
        <v>1.4803225806451792</v>
      </c>
      <c r="O28" s="33">
        <f t="shared" ca="1" si="8"/>
        <v>1.4359881053410908</v>
      </c>
      <c r="P28" s="33">
        <f t="shared" ca="1" si="8"/>
        <v>0.72741289938298914</v>
      </c>
    </row>
    <row r="29" spans="1:16" s="34" customFormat="1" ht="36.75" customHeight="1" thickBot="1" x14ac:dyDescent="0.3">
      <c r="A29" s="18" t="s">
        <v>8</v>
      </c>
      <c r="B29" s="14">
        <f ca="1">OFFSET(INDEX(data!E:E,MATCH(B25,data!E:E,0)),-6,H25-5)</f>
        <v>46186</v>
      </c>
      <c r="C29" s="18" t="s">
        <v>17</v>
      </c>
      <c r="D29" s="16">
        <f ca="1">OFFSET(INDEX(data!E:E,MATCH(B25,data!E:E,0)),-1,H25-5)</f>
        <v>326.93</v>
      </c>
      <c r="E29" s="18" t="s">
        <v>15</v>
      </c>
      <c r="F29" s="16">
        <f ca="1">MIN((D28-F26)/(3*_xlfn.STDEV.P(OFFSET(INDEX(data!E:E,MATCH(B25,data!E:E,0)),-1,(H25-5)-(B27-1),1,B27))),(F26-D27)/(3*_xlfn.STDEV.P(OFFSET(INDEX(data!E:E,MATCH(B25,data!E:E,0)),-1,(H25-5)-(B27-1),1,B27))))</f>
        <v>0.72741289938298914</v>
      </c>
      <c r="G29" s="43"/>
      <c r="H29" s="38"/>
      <c r="I29" s="2"/>
      <c r="J29" s="32" t="str">
        <f t="shared" ca="1" si="9"/>
        <v>PART01</v>
      </c>
      <c r="K29" s="32" t="str">
        <f t="shared" ca="1" si="9"/>
        <v>Upper Sub-Assembly</v>
      </c>
      <c r="L29" s="34" t="str">
        <f t="shared" si="9"/>
        <v>PART01_01R_Y</v>
      </c>
      <c r="M29" s="34" t="str">
        <f ca="1">M28</f>
        <v>Pos Y</v>
      </c>
      <c r="N29" s="33">
        <f t="shared" ca="1" si="8"/>
        <v>1.4803225806451792</v>
      </c>
      <c r="O29" s="33">
        <f t="shared" ca="1" si="8"/>
        <v>1.4359881053410908</v>
      </c>
      <c r="P29" s="33">
        <f t="shared" ca="1" si="8"/>
        <v>0.72741289938298914</v>
      </c>
    </row>
    <row r="30" spans="1:16" s="34" customFormat="1" ht="36.75" customHeight="1" thickBot="1" x14ac:dyDescent="0.3">
      <c r="A30" s="29" t="s">
        <v>4</v>
      </c>
      <c r="B30" s="11" t="s">
        <v>44</v>
      </c>
      <c r="C30" s="19" t="s">
        <v>16</v>
      </c>
      <c r="D30" s="39" t="str">
        <f ca="1">OFFSET(INDEX(data!E:E,MATCH(B30,data!E:E,0)),0,1)</f>
        <v>Upper Part Inboard RH Hole - Pos Z</v>
      </c>
      <c r="E30" s="39"/>
      <c r="F30" s="39"/>
      <c r="G30" s="40"/>
      <c r="H30" s="36">
        <f ca="1">OFFSET(INDEX(data!E:E,MATCH(B30,data!E:E,0)),0,3)</f>
        <v>62</v>
      </c>
      <c r="I30" s="2"/>
      <c r="J30" s="32" t="str">
        <f ca="1">OFFSET(INDEX(data!E:E,MATCH(B30,data!E:E,0)),0,-2)</f>
        <v>PART01</v>
      </c>
      <c r="K30" s="32" t="str">
        <f ca="1">OFFSET(INDEX(data!E:E,MATCH(B30,data!E:E,0)),0,-1)</f>
        <v>Upper Sub-Assembly</v>
      </c>
      <c r="L30" s="34" t="str">
        <f>B30</f>
        <v>PART01_01R_Z</v>
      </c>
      <c r="M30" s="34" t="str">
        <f ca="1">B31</f>
        <v>Pos Z</v>
      </c>
      <c r="N30" s="33">
        <f ca="1">F32</f>
        <v>-0.96548387096743227</v>
      </c>
      <c r="O30" s="33">
        <f ca="1">F33</f>
        <v>2.8898340263370264</v>
      </c>
      <c r="P30" s="33">
        <f ca="1">F34</f>
        <v>1.9598046456032685</v>
      </c>
    </row>
    <row r="31" spans="1:16" s="34" customFormat="1" ht="36.75" customHeight="1" x14ac:dyDescent="0.25">
      <c r="A31" s="17" t="s">
        <v>5</v>
      </c>
      <c r="B31" s="12" t="str">
        <f ca="1">OFFSET(INDEX(data!E:E,MATCH(B30,data!E:E,0)),0,2)</f>
        <v>Pos Z</v>
      </c>
      <c r="C31" s="20" t="s">
        <v>9</v>
      </c>
      <c r="D31" s="22">
        <f ca="1">OFFSET(INDEX(data!E:E,MATCH(B30,data!E:E,0)),-4,(H30-5)-(B32-1))</f>
        <v>990.2</v>
      </c>
      <c r="E31" s="20" t="s">
        <v>12</v>
      </c>
      <c r="F31" s="22">
        <f ca="1">AVERAGE(OFFSET(INDEX(data!E:E,MATCH(B30,data!E:E,0)),-1,(H30-5)-(B32-1),1,B32))</f>
        <v>989.23451612903261</v>
      </c>
      <c r="G31" s="41"/>
      <c r="H31" s="37"/>
      <c r="I31" s="2"/>
      <c r="J31" s="32" t="str">
        <f ca="1">J30</f>
        <v>PART01</v>
      </c>
      <c r="K31" s="32" t="str">
        <f ca="1">K30</f>
        <v>Upper Sub-Assembly</v>
      </c>
      <c r="L31" s="34" t="str">
        <f>L30</f>
        <v>PART01_01R_Z</v>
      </c>
      <c r="M31" s="34" t="str">
        <f ca="1">M30</f>
        <v>Pos Z</v>
      </c>
      <c r="N31" s="33">
        <f t="shared" ref="N31:P34" ca="1" si="10">N30</f>
        <v>-0.96548387096743227</v>
      </c>
      <c r="O31" s="33">
        <f t="shared" ca="1" si="10"/>
        <v>2.8898340263370264</v>
      </c>
      <c r="P31" s="33">
        <f t="shared" ca="1" si="10"/>
        <v>1.9598046456032685</v>
      </c>
    </row>
    <row r="32" spans="1:16" s="34" customFormat="1" ht="36.75" customHeight="1" x14ac:dyDescent="0.25">
      <c r="A32" s="17" t="s">
        <v>6</v>
      </c>
      <c r="B32" s="21">
        <f ca="1">H30</f>
        <v>62</v>
      </c>
      <c r="C32" s="17" t="s">
        <v>10</v>
      </c>
      <c r="D32" s="15">
        <f ca="1">OFFSET(INDEX(data!E:E,MATCH(B30,data!E:E,0)),-3,(H30-5)-(B32-1))</f>
        <v>987.2</v>
      </c>
      <c r="E32" s="17" t="s">
        <v>13</v>
      </c>
      <c r="F32" s="15">
        <f ca="1">F31-D31</f>
        <v>-0.96548387096743227</v>
      </c>
      <c r="G32" s="42"/>
      <c r="H32" s="37"/>
      <c r="I32" s="2"/>
      <c r="J32" s="32" t="str">
        <f t="shared" ref="J32:L34" ca="1" si="11">J31</f>
        <v>PART01</v>
      </c>
      <c r="K32" s="32" t="str">
        <f t="shared" ca="1" si="11"/>
        <v>Upper Sub-Assembly</v>
      </c>
      <c r="L32" s="34" t="str">
        <f t="shared" si="11"/>
        <v>PART01_01R_Z</v>
      </c>
      <c r="M32" s="34" t="str">
        <f ca="1">M31</f>
        <v>Pos Z</v>
      </c>
      <c r="N32" s="33">
        <f t="shared" ca="1" si="10"/>
        <v>-0.96548387096743227</v>
      </c>
      <c r="O32" s="33">
        <f t="shared" ca="1" si="10"/>
        <v>2.8898340263370264</v>
      </c>
      <c r="P32" s="33">
        <f t="shared" ca="1" si="10"/>
        <v>1.9598046456032685</v>
      </c>
    </row>
    <row r="33" spans="1:16" s="34" customFormat="1" ht="36.75" customHeight="1" x14ac:dyDescent="0.25">
      <c r="A33" s="17" t="s">
        <v>7</v>
      </c>
      <c r="B33" s="13">
        <f ca="1">OFFSET(INDEX(data!E:E,MATCH(B30,data!E:E,0)),-6,(H30-5)-(B32-1))</f>
        <v>46169</v>
      </c>
      <c r="C33" s="17" t="s">
        <v>11</v>
      </c>
      <c r="D33" s="15">
        <f ca="1">OFFSET(INDEX(data!E:E,MATCH(B30,data!E:E,0)),-2,(H30-5)-(B32-1))</f>
        <v>993.2</v>
      </c>
      <c r="E33" s="17" t="s">
        <v>14</v>
      </c>
      <c r="F33" s="15">
        <f ca="1">(D33-D32)/(6*_xlfn.STDEV.P(OFFSET(INDEX(data!E:E,MATCH(B30,data!E:E,0)),-1,(H30-5)-(B32-1),1,B32)))</f>
        <v>2.8898340263370264</v>
      </c>
      <c r="G33" s="42"/>
      <c r="H33" s="37"/>
      <c r="I33" s="2"/>
      <c r="J33" s="32" t="str">
        <f t="shared" ca="1" si="11"/>
        <v>PART01</v>
      </c>
      <c r="K33" s="32" t="str">
        <f t="shared" ca="1" si="11"/>
        <v>Upper Sub-Assembly</v>
      </c>
      <c r="L33" s="34" t="str">
        <f t="shared" si="11"/>
        <v>PART01_01R_Z</v>
      </c>
      <c r="M33" s="34" t="str">
        <f ca="1">M32</f>
        <v>Pos Z</v>
      </c>
      <c r="N33" s="33">
        <f t="shared" ca="1" si="10"/>
        <v>-0.96548387096743227</v>
      </c>
      <c r="O33" s="33">
        <f t="shared" ca="1" si="10"/>
        <v>2.8898340263370264</v>
      </c>
      <c r="P33" s="33">
        <f t="shared" ca="1" si="10"/>
        <v>1.9598046456032685</v>
      </c>
    </row>
    <row r="34" spans="1:16" s="34" customFormat="1" ht="36.75" customHeight="1" thickBot="1" x14ac:dyDescent="0.3">
      <c r="A34" s="18" t="s">
        <v>8</v>
      </c>
      <c r="B34" s="14">
        <f ca="1">OFFSET(INDEX(data!E:E,MATCH(B30,data!E:E,0)),-6,H30-5)</f>
        <v>46186</v>
      </c>
      <c r="C34" s="18" t="s">
        <v>17</v>
      </c>
      <c r="D34" s="16">
        <f ca="1">OFFSET(INDEX(data!E:E,MATCH(B30,data!E:E,0)),-1,H30-5)</f>
        <v>988.68</v>
      </c>
      <c r="E34" s="18" t="s">
        <v>15</v>
      </c>
      <c r="F34" s="16">
        <f ca="1">MIN((D33-F31)/(3*_xlfn.STDEV.P(OFFSET(INDEX(data!E:E,MATCH(B30,data!E:E,0)),-1,(H30-5)-(B32-1),1,B32))),(F31-D32)/(3*_xlfn.STDEV.P(OFFSET(INDEX(data!E:E,MATCH(B30,data!E:E,0)),-1,(H30-5)-(B32-1),1,B32))))</f>
        <v>1.9598046456032685</v>
      </c>
      <c r="G34" s="43"/>
      <c r="H34" s="38"/>
      <c r="I34" s="2"/>
      <c r="J34" s="32" t="str">
        <f t="shared" ca="1" si="11"/>
        <v>PART01</v>
      </c>
      <c r="K34" s="32" t="str">
        <f t="shared" ca="1" si="11"/>
        <v>Upper Sub-Assembly</v>
      </c>
      <c r="L34" s="34" t="str">
        <f t="shared" si="11"/>
        <v>PART01_01R_Z</v>
      </c>
      <c r="M34" s="34" t="str">
        <f ca="1">M33</f>
        <v>Pos Z</v>
      </c>
      <c r="N34" s="33">
        <f t="shared" ca="1" si="10"/>
        <v>-0.96548387096743227</v>
      </c>
      <c r="O34" s="33">
        <f t="shared" ca="1" si="10"/>
        <v>2.8898340263370264</v>
      </c>
      <c r="P34" s="33">
        <f t="shared" ca="1" si="10"/>
        <v>1.9598046456032685</v>
      </c>
    </row>
    <row r="35" spans="1:16" s="34" customFormat="1" ht="36.75" customHeight="1" thickBot="1" x14ac:dyDescent="0.3">
      <c r="A35" s="29" t="s">
        <v>4</v>
      </c>
      <c r="B35" s="11" t="s">
        <v>46</v>
      </c>
      <c r="C35" s="19" t="s">
        <v>16</v>
      </c>
      <c r="D35" s="39" t="str">
        <f ca="1">OFFSET(INDEX(data!E:E,MATCH(B35,data!E:E,0)),0,1)</f>
        <v>Upper Part Outboard RH Hole - Pos X</v>
      </c>
      <c r="E35" s="39"/>
      <c r="F35" s="39"/>
      <c r="G35" s="40"/>
      <c r="H35" s="36">
        <f ca="1">OFFSET(INDEX(data!E:E,MATCH(B35,data!E:E,0)),0,3)</f>
        <v>62</v>
      </c>
      <c r="I35" s="2"/>
      <c r="J35" s="32" t="str">
        <f ca="1">OFFSET(INDEX(data!E:E,MATCH(B35,data!E:E,0)),0,-2)</f>
        <v>PART01</v>
      </c>
      <c r="K35" s="32" t="str">
        <f ca="1">OFFSET(INDEX(data!E:E,MATCH(B35,data!E:E,0)),0,-1)</f>
        <v>Upper Sub-Assembly</v>
      </c>
      <c r="L35" s="34" t="str">
        <f>B35</f>
        <v>PART01_02R_X</v>
      </c>
      <c r="M35" s="34" t="str">
        <f ca="1">B36</f>
        <v>Pos X</v>
      </c>
      <c r="N35" s="33">
        <f ca="1">F37</f>
        <v>1.5417741935484344</v>
      </c>
      <c r="O35" s="33">
        <f ca="1">F38</f>
        <v>1.6963658585209953</v>
      </c>
      <c r="P35" s="33">
        <f ca="1">F39</f>
        <v>0.82456149069289364</v>
      </c>
    </row>
    <row r="36" spans="1:16" s="34" customFormat="1" ht="36.75" customHeight="1" x14ac:dyDescent="0.25">
      <c r="A36" s="17" t="s">
        <v>5</v>
      </c>
      <c r="B36" s="12" t="str">
        <f ca="1">OFFSET(INDEX(data!E:E,MATCH(B35,data!E:E,0)),0,2)</f>
        <v>Pos X</v>
      </c>
      <c r="C36" s="20" t="s">
        <v>9</v>
      </c>
      <c r="D36" s="22">
        <f ca="1">OFFSET(INDEX(data!E:E,MATCH(B35,data!E:E,0)),-4,(H35-5)-(B37-1))</f>
        <v>226.2</v>
      </c>
      <c r="E36" s="20" t="s">
        <v>12</v>
      </c>
      <c r="F36" s="22">
        <f ca="1">AVERAGE(OFFSET(INDEX(data!E:E,MATCH(B35,data!E:E,0)),-1,(H35-5)-(B37-1),1,B37))</f>
        <v>227.74177419354842</v>
      </c>
      <c r="G36" s="41"/>
      <c r="H36" s="37"/>
      <c r="I36" s="2"/>
      <c r="J36" s="32" t="str">
        <f ca="1">J35</f>
        <v>PART01</v>
      </c>
      <c r="K36" s="32" t="str">
        <f ca="1">K35</f>
        <v>Upper Sub-Assembly</v>
      </c>
      <c r="L36" s="34" t="str">
        <f>L35</f>
        <v>PART01_02R_X</v>
      </c>
      <c r="M36" s="34" t="str">
        <f ca="1">M35</f>
        <v>Pos X</v>
      </c>
      <c r="N36" s="33">
        <f t="shared" ref="N36:P39" ca="1" si="12">N35</f>
        <v>1.5417741935484344</v>
      </c>
      <c r="O36" s="33">
        <f t="shared" ca="1" si="12"/>
        <v>1.6963658585209953</v>
      </c>
      <c r="P36" s="33">
        <f t="shared" ca="1" si="12"/>
        <v>0.82456149069289364</v>
      </c>
    </row>
    <row r="37" spans="1:16" s="34" customFormat="1" ht="36.75" customHeight="1" x14ac:dyDescent="0.25">
      <c r="A37" s="17" t="s">
        <v>6</v>
      </c>
      <c r="B37" s="21">
        <f ca="1">H35</f>
        <v>62</v>
      </c>
      <c r="C37" s="17" t="s">
        <v>10</v>
      </c>
      <c r="D37" s="15">
        <f ca="1">OFFSET(INDEX(data!E:E,MATCH(B35,data!E:E,0)),-3,(H35-5)-(B37-1))</f>
        <v>223.2</v>
      </c>
      <c r="E37" s="17" t="s">
        <v>13</v>
      </c>
      <c r="F37" s="15">
        <f ca="1">F36-D36</f>
        <v>1.5417741935484344</v>
      </c>
      <c r="G37" s="42"/>
      <c r="H37" s="37"/>
      <c r="I37" s="2"/>
      <c r="J37" s="32" t="str">
        <f t="shared" ref="J37:L39" ca="1" si="13">J36</f>
        <v>PART01</v>
      </c>
      <c r="K37" s="32" t="str">
        <f t="shared" ca="1" si="13"/>
        <v>Upper Sub-Assembly</v>
      </c>
      <c r="L37" s="34" t="str">
        <f t="shared" si="13"/>
        <v>PART01_02R_X</v>
      </c>
      <c r="M37" s="34" t="str">
        <f ca="1">M36</f>
        <v>Pos X</v>
      </c>
      <c r="N37" s="33">
        <f t="shared" ca="1" si="12"/>
        <v>1.5417741935484344</v>
      </c>
      <c r="O37" s="33">
        <f t="shared" ca="1" si="12"/>
        <v>1.6963658585209953</v>
      </c>
      <c r="P37" s="33">
        <f t="shared" ca="1" si="12"/>
        <v>0.82456149069289364</v>
      </c>
    </row>
    <row r="38" spans="1:16" s="34" customFormat="1" ht="36.75" customHeight="1" x14ac:dyDescent="0.25">
      <c r="A38" s="17" t="s">
        <v>7</v>
      </c>
      <c r="B38" s="13">
        <f ca="1">OFFSET(INDEX(data!E:E,MATCH(B35,data!E:E,0)),-6,(H35-5)-(B37-1))</f>
        <v>46169</v>
      </c>
      <c r="C38" s="17" t="s">
        <v>11</v>
      </c>
      <c r="D38" s="15">
        <f ca="1">OFFSET(INDEX(data!E:E,MATCH(B35,data!E:E,0)),-2,(H35-5)-(B37-1))</f>
        <v>229.2</v>
      </c>
      <c r="E38" s="17" t="s">
        <v>14</v>
      </c>
      <c r="F38" s="15">
        <f ca="1">(D38-D37)/(6*_xlfn.STDEV.P(OFFSET(INDEX(data!E:E,MATCH(B35,data!E:E,0)),-1,(H35-5)-(B37-1),1,B37)))</f>
        <v>1.6963658585209953</v>
      </c>
      <c r="G38" s="42"/>
      <c r="H38" s="37"/>
      <c r="I38" s="2"/>
      <c r="J38" s="32" t="str">
        <f t="shared" ca="1" si="13"/>
        <v>PART01</v>
      </c>
      <c r="K38" s="32" t="str">
        <f t="shared" ca="1" si="13"/>
        <v>Upper Sub-Assembly</v>
      </c>
      <c r="L38" s="34" t="str">
        <f t="shared" si="13"/>
        <v>PART01_02R_X</v>
      </c>
      <c r="M38" s="34" t="str">
        <f ca="1">M37</f>
        <v>Pos X</v>
      </c>
      <c r="N38" s="33">
        <f t="shared" ca="1" si="12"/>
        <v>1.5417741935484344</v>
      </c>
      <c r="O38" s="33">
        <f t="shared" ca="1" si="12"/>
        <v>1.6963658585209953</v>
      </c>
      <c r="P38" s="33">
        <f t="shared" ca="1" si="12"/>
        <v>0.82456149069289364</v>
      </c>
    </row>
    <row r="39" spans="1:16" s="34" customFormat="1" ht="36.75" customHeight="1" thickBot="1" x14ac:dyDescent="0.3">
      <c r="A39" s="18" t="s">
        <v>8</v>
      </c>
      <c r="B39" s="14">
        <f ca="1">OFFSET(INDEX(data!E:E,MATCH(B35,data!E:E,0)),-6,H35-5)</f>
        <v>46186</v>
      </c>
      <c r="C39" s="18" t="s">
        <v>17</v>
      </c>
      <c r="D39" s="16">
        <f ca="1">OFFSET(INDEX(data!E:E,MATCH(B35,data!E:E,0)),-1,H35-5)</f>
        <v>227.77</v>
      </c>
      <c r="E39" s="18" t="s">
        <v>15</v>
      </c>
      <c r="F39" s="16">
        <f ca="1">MIN((D38-F36)/(3*_xlfn.STDEV.P(OFFSET(INDEX(data!E:E,MATCH(B35,data!E:E,0)),-1,(H35-5)-(B37-1),1,B37))),(F36-D37)/(3*_xlfn.STDEV.P(OFFSET(INDEX(data!E:E,MATCH(B35,data!E:E,0)),-1,(H35-5)-(B37-1),1,B37))))</f>
        <v>0.82456149069289364</v>
      </c>
      <c r="G39" s="43"/>
      <c r="H39" s="38"/>
      <c r="I39" s="2"/>
      <c r="J39" s="32" t="str">
        <f t="shared" ca="1" si="13"/>
        <v>PART01</v>
      </c>
      <c r="K39" s="32" t="str">
        <f t="shared" ca="1" si="13"/>
        <v>Upper Sub-Assembly</v>
      </c>
      <c r="L39" s="34" t="str">
        <f t="shared" si="13"/>
        <v>PART01_02R_X</v>
      </c>
      <c r="M39" s="34" t="str">
        <f ca="1">M38</f>
        <v>Pos X</v>
      </c>
      <c r="N39" s="33">
        <f t="shared" ca="1" si="12"/>
        <v>1.5417741935484344</v>
      </c>
      <c r="O39" s="33">
        <f t="shared" ca="1" si="12"/>
        <v>1.6963658585209953</v>
      </c>
      <c r="P39" s="33">
        <f t="shared" ca="1" si="12"/>
        <v>0.82456149069289364</v>
      </c>
    </row>
    <row r="40" spans="1:16" s="34" customFormat="1" ht="36.75" customHeight="1" thickBot="1" x14ac:dyDescent="0.3">
      <c r="A40" s="29" t="s">
        <v>4</v>
      </c>
      <c r="B40" s="11" t="s">
        <v>48</v>
      </c>
      <c r="C40" s="19" t="s">
        <v>16</v>
      </c>
      <c r="D40" s="39" t="str">
        <f ca="1">OFFSET(INDEX(data!E:E,MATCH(B40,data!E:E,0)),0,1)</f>
        <v>Upper Part Outboard RH Hole - Pos Y</v>
      </c>
      <c r="E40" s="39"/>
      <c r="F40" s="39"/>
      <c r="G40" s="40"/>
      <c r="H40" s="36">
        <f ca="1">OFFSET(INDEX(data!E:E,MATCH(B40,data!E:E,0)),0,3)</f>
        <v>62</v>
      </c>
      <c r="I40" s="2"/>
      <c r="J40" s="32" t="str">
        <f ca="1">OFFSET(INDEX(data!E:E,MATCH(B40,data!E:E,0)),0,-2)</f>
        <v>PART01</v>
      </c>
      <c r="K40" s="32" t="str">
        <f ca="1">OFFSET(INDEX(data!E:E,MATCH(B40,data!E:E,0)),0,-1)</f>
        <v>Upper Sub-Assembly</v>
      </c>
      <c r="L40" s="34" t="str">
        <f>B40</f>
        <v>PART01_02R_Y</v>
      </c>
      <c r="M40" s="34" t="str">
        <f ca="1">B41</f>
        <v>Pos Y</v>
      </c>
      <c r="N40" s="33">
        <f ca="1">F42</f>
        <v>0.6877419354838139</v>
      </c>
      <c r="O40" s="33">
        <f ca="1">F43</f>
        <v>1.3692066632988271</v>
      </c>
      <c r="P40" s="33">
        <f ca="1">F44</f>
        <v>1.0553197164006705</v>
      </c>
    </row>
    <row r="41" spans="1:16" s="34" customFormat="1" ht="36.75" customHeight="1" x14ac:dyDescent="0.25">
      <c r="A41" s="17" t="s">
        <v>5</v>
      </c>
      <c r="B41" s="12" t="str">
        <f ca="1">OFFSET(INDEX(data!E:E,MATCH(B40,data!E:E,0)),0,2)</f>
        <v>Pos Y</v>
      </c>
      <c r="C41" s="20" t="s">
        <v>9</v>
      </c>
      <c r="D41" s="22">
        <f ca="1">OFFSET(INDEX(data!E:E,MATCH(B40,data!E:E,0)),-4,(H40-5)-(B42-1))</f>
        <v>449</v>
      </c>
      <c r="E41" s="20" t="s">
        <v>12</v>
      </c>
      <c r="F41" s="22">
        <f ca="1">AVERAGE(OFFSET(INDEX(data!E:E,MATCH(B40,data!E:E,0)),-1,(H40-5)-(B42-1),1,B42))</f>
        <v>449.68774193548381</v>
      </c>
      <c r="G41" s="41"/>
      <c r="H41" s="37"/>
      <c r="I41" s="2"/>
      <c r="J41" s="32" t="str">
        <f ca="1">J40</f>
        <v>PART01</v>
      </c>
      <c r="K41" s="32" t="str">
        <f ca="1">K40</f>
        <v>Upper Sub-Assembly</v>
      </c>
      <c r="L41" s="34" t="str">
        <f>L40</f>
        <v>PART01_02R_Y</v>
      </c>
      <c r="M41" s="34" t="str">
        <f ca="1">M40</f>
        <v>Pos Y</v>
      </c>
      <c r="N41" s="33">
        <f t="shared" ref="N41:P44" ca="1" si="14">N40</f>
        <v>0.6877419354838139</v>
      </c>
      <c r="O41" s="33">
        <f t="shared" ca="1" si="14"/>
        <v>1.3692066632988271</v>
      </c>
      <c r="P41" s="33">
        <f t="shared" ca="1" si="14"/>
        <v>1.0553197164006705</v>
      </c>
    </row>
    <row r="42" spans="1:16" s="34" customFormat="1" ht="36.75" customHeight="1" x14ac:dyDescent="0.25">
      <c r="A42" s="17" t="s">
        <v>6</v>
      </c>
      <c r="B42" s="21">
        <f ca="1">H40</f>
        <v>62</v>
      </c>
      <c r="C42" s="17" t="s">
        <v>10</v>
      </c>
      <c r="D42" s="15">
        <f ca="1">OFFSET(INDEX(data!E:E,MATCH(B40,data!E:E,0)),-3,(H40-5)-(B42-1))</f>
        <v>446</v>
      </c>
      <c r="E42" s="17" t="s">
        <v>13</v>
      </c>
      <c r="F42" s="15">
        <f ca="1">F41-D41</f>
        <v>0.6877419354838139</v>
      </c>
      <c r="G42" s="42"/>
      <c r="H42" s="37"/>
      <c r="I42" s="2"/>
      <c r="J42" s="32" t="str">
        <f t="shared" ref="J42:L44" ca="1" si="15">J41</f>
        <v>PART01</v>
      </c>
      <c r="K42" s="32" t="str">
        <f t="shared" ca="1" si="15"/>
        <v>Upper Sub-Assembly</v>
      </c>
      <c r="L42" s="34" t="str">
        <f t="shared" si="15"/>
        <v>PART01_02R_Y</v>
      </c>
      <c r="M42" s="34" t="str">
        <f ca="1">M41</f>
        <v>Pos Y</v>
      </c>
      <c r="N42" s="33">
        <f t="shared" ca="1" si="14"/>
        <v>0.6877419354838139</v>
      </c>
      <c r="O42" s="33">
        <f t="shared" ca="1" si="14"/>
        <v>1.3692066632988271</v>
      </c>
      <c r="P42" s="33">
        <f t="shared" ca="1" si="14"/>
        <v>1.0553197164006705</v>
      </c>
    </row>
    <row r="43" spans="1:16" s="34" customFormat="1" ht="36.75" customHeight="1" x14ac:dyDescent="0.25">
      <c r="A43" s="17" t="s">
        <v>7</v>
      </c>
      <c r="B43" s="13">
        <f ca="1">OFFSET(INDEX(data!E:E,MATCH(B40,data!E:E,0)),-6,(H40-5)-(B42-1))</f>
        <v>46169</v>
      </c>
      <c r="C43" s="17" t="s">
        <v>11</v>
      </c>
      <c r="D43" s="15">
        <f ca="1">OFFSET(INDEX(data!E:E,MATCH(B40,data!E:E,0)),-2,(H40-5)-(B42-1))</f>
        <v>452</v>
      </c>
      <c r="E43" s="17" t="s">
        <v>14</v>
      </c>
      <c r="F43" s="15">
        <f ca="1">(D43-D42)/(6*_xlfn.STDEV.P(OFFSET(INDEX(data!E:E,MATCH(B40,data!E:E,0)),-1,(H40-5)-(B42-1),1,B42)))</f>
        <v>1.3692066632988271</v>
      </c>
      <c r="G43" s="42"/>
      <c r="H43" s="37"/>
      <c r="I43" s="2"/>
      <c r="J43" s="32" t="str">
        <f t="shared" ca="1" si="15"/>
        <v>PART01</v>
      </c>
      <c r="K43" s="32" t="str">
        <f t="shared" ca="1" si="15"/>
        <v>Upper Sub-Assembly</v>
      </c>
      <c r="L43" s="34" t="str">
        <f t="shared" si="15"/>
        <v>PART01_02R_Y</v>
      </c>
      <c r="M43" s="34" t="str">
        <f ca="1">M42</f>
        <v>Pos Y</v>
      </c>
      <c r="N43" s="33">
        <f t="shared" ca="1" si="14"/>
        <v>0.6877419354838139</v>
      </c>
      <c r="O43" s="33">
        <f t="shared" ca="1" si="14"/>
        <v>1.3692066632988271</v>
      </c>
      <c r="P43" s="33">
        <f t="shared" ca="1" si="14"/>
        <v>1.0553197164006705</v>
      </c>
    </row>
    <row r="44" spans="1:16" s="34" customFormat="1" ht="36.75" customHeight="1" thickBot="1" x14ac:dyDescent="0.3">
      <c r="A44" s="18" t="s">
        <v>8</v>
      </c>
      <c r="B44" s="14">
        <f ca="1">OFFSET(INDEX(data!E:E,MATCH(B40,data!E:E,0)),-6,H40-5)</f>
        <v>46186</v>
      </c>
      <c r="C44" s="18" t="s">
        <v>17</v>
      </c>
      <c r="D44" s="16">
        <f ca="1">OFFSET(INDEX(data!E:E,MATCH(B40,data!E:E,0)),-1,H40-5)</f>
        <v>448.84</v>
      </c>
      <c r="E44" s="18" t="s">
        <v>15</v>
      </c>
      <c r="F44" s="16">
        <f ca="1">MIN((D43-F41)/(3*_xlfn.STDEV.P(OFFSET(INDEX(data!E:E,MATCH(B40,data!E:E,0)),-1,(H40-5)-(B42-1),1,B42))),(F41-D42)/(3*_xlfn.STDEV.P(OFFSET(INDEX(data!E:E,MATCH(B40,data!E:E,0)),-1,(H40-5)-(B42-1),1,B42))))</f>
        <v>1.0553197164006705</v>
      </c>
      <c r="G44" s="43"/>
      <c r="H44" s="38"/>
      <c r="I44" s="2"/>
      <c r="J44" s="32" t="str">
        <f t="shared" ca="1" si="15"/>
        <v>PART01</v>
      </c>
      <c r="K44" s="32" t="str">
        <f t="shared" ca="1" si="15"/>
        <v>Upper Sub-Assembly</v>
      </c>
      <c r="L44" s="34" t="str">
        <f t="shared" si="15"/>
        <v>PART01_02R_Y</v>
      </c>
      <c r="M44" s="34" t="str">
        <f ca="1">M43</f>
        <v>Pos Y</v>
      </c>
      <c r="N44" s="33">
        <f t="shared" ca="1" si="14"/>
        <v>0.6877419354838139</v>
      </c>
      <c r="O44" s="33">
        <f t="shared" ca="1" si="14"/>
        <v>1.3692066632988271</v>
      </c>
      <c r="P44" s="33">
        <f t="shared" ca="1" si="14"/>
        <v>1.0553197164006705</v>
      </c>
    </row>
    <row r="45" spans="1:16" s="34" customFormat="1" ht="36.75" customHeight="1" thickBot="1" x14ac:dyDescent="0.3">
      <c r="A45" s="29" t="s">
        <v>4</v>
      </c>
      <c r="B45" s="11" t="s">
        <v>50</v>
      </c>
      <c r="C45" s="19" t="s">
        <v>16</v>
      </c>
      <c r="D45" s="39" t="str">
        <f ca="1">OFFSET(INDEX(data!E:E,MATCH(B45,data!E:E,0)),0,1)</f>
        <v>Upper Part Outboard RH Hole - Pos Z</v>
      </c>
      <c r="E45" s="39"/>
      <c r="F45" s="39"/>
      <c r="G45" s="40"/>
      <c r="H45" s="36">
        <f ca="1">OFFSET(INDEX(data!E:E,MATCH(B45,data!E:E,0)),0,3)</f>
        <v>62</v>
      </c>
      <c r="I45" s="2"/>
      <c r="J45" s="32" t="str">
        <f ca="1">OFFSET(INDEX(data!E:E,MATCH(B45,data!E:E,0)),0,-2)</f>
        <v>PART01</v>
      </c>
      <c r="K45" s="32" t="str">
        <f ca="1">OFFSET(INDEX(data!E:E,MATCH(B45,data!E:E,0)),0,-1)</f>
        <v>Upper Sub-Assembly</v>
      </c>
      <c r="L45" s="34" t="str">
        <f>B45</f>
        <v>PART01_02R_Z</v>
      </c>
      <c r="M45" s="34" t="str">
        <f ca="1">B46</f>
        <v>Pos Z</v>
      </c>
      <c r="N45" s="33">
        <f ca="1">F47</f>
        <v>-0.69419354838669278</v>
      </c>
      <c r="O45" s="33">
        <f ca="1">F48</f>
        <v>3.0504497955584857</v>
      </c>
      <c r="P45" s="33">
        <f ca="1">F49</f>
        <v>2.3445822729737502</v>
      </c>
    </row>
    <row r="46" spans="1:16" s="34" customFormat="1" ht="36.75" customHeight="1" x14ac:dyDescent="0.25">
      <c r="A46" s="17" t="s">
        <v>5</v>
      </c>
      <c r="B46" s="12" t="str">
        <f ca="1">OFFSET(INDEX(data!E:E,MATCH(B45,data!E:E,0)),0,2)</f>
        <v>Pos Z</v>
      </c>
      <c r="C46" s="20" t="s">
        <v>9</v>
      </c>
      <c r="D46" s="22">
        <f ca="1">OFFSET(INDEX(data!E:E,MATCH(B45,data!E:E,0)),-4,(H45-5)-(B47-1))</f>
        <v>1052.3</v>
      </c>
      <c r="E46" s="20" t="s">
        <v>12</v>
      </c>
      <c r="F46" s="22">
        <f ca="1">AVERAGE(OFFSET(INDEX(data!E:E,MATCH(B45,data!E:E,0)),-1,(H45-5)-(B47-1),1,B47))</f>
        <v>1051.6058064516133</v>
      </c>
      <c r="G46" s="41"/>
      <c r="H46" s="37"/>
      <c r="I46" s="2"/>
      <c r="J46" s="32" t="str">
        <f ca="1">J45</f>
        <v>PART01</v>
      </c>
      <c r="K46" s="32" t="str">
        <f ca="1">K45</f>
        <v>Upper Sub-Assembly</v>
      </c>
      <c r="L46" s="34" t="str">
        <f>L45</f>
        <v>PART01_02R_Z</v>
      </c>
      <c r="M46" s="34" t="str">
        <f ca="1">M45</f>
        <v>Pos Z</v>
      </c>
      <c r="N46" s="33">
        <f t="shared" ref="N46:P49" ca="1" si="16">N45</f>
        <v>-0.69419354838669278</v>
      </c>
      <c r="O46" s="33">
        <f t="shared" ca="1" si="16"/>
        <v>3.0504497955584857</v>
      </c>
      <c r="P46" s="33">
        <f t="shared" ca="1" si="16"/>
        <v>2.3445822729737502</v>
      </c>
    </row>
    <row r="47" spans="1:16" s="34" customFormat="1" ht="36.75" customHeight="1" x14ac:dyDescent="0.25">
      <c r="A47" s="17" t="s">
        <v>6</v>
      </c>
      <c r="B47" s="21">
        <f ca="1">H45</f>
        <v>62</v>
      </c>
      <c r="C47" s="17" t="s">
        <v>10</v>
      </c>
      <c r="D47" s="15">
        <f ca="1">OFFSET(INDEX(data!E:E,MATCH(B45,data!E:E,0)),-3,(H45-5)-(B47-1))</f>
        <v>1049.3</v>
      </c>
      <c r="E47" s="17" t="s">
        <v>13</v>
      </c>
      <c r="F47" s="15">
        <f ca="1">F46-D46</f>
        <v>-0.69419354838669278</v>
      </c>
      <c r="G47" s="42"/>
      <c r="H47" s="37"/>
      <c r="I47" s="2"/>
      <c r="J47" s="32" t="str">
        <f t="shared" ref="J47:L49" ca="1" si="17">J46</f>
        <v>PART01</v>
      </c>
      <c r="K47" s="32" t="str">
        <f t="shared" ca="1" si="17"/>
        <v>Upper Sub-Assembly</v>
      </c>
      <c r="L47" s="34" t="str">
        <f t="shared" si="17"/>
        <v>PART01_02R_Z</v>
      </c>
      <c r="M47" s="34" t="str">
        <f ca="1">M46</f>
        <v>Pos Z</v>
      </c>
      <c r="N47" s="33">
        <f t="shared" ca="1" si="16"/>
        <v>-0.69419354838669278</v>
      </c>
      <c r="O47" s="33">
        <f t="shared" ca="1" si="16"/>
        <v>3.0504497955584857</v>
      </c>
      <c r="P47" s="33">
        <f t="shared" ca="1" si="16"/>
        <v>2.3445822729737502</v>
      </c>
    </row>
    <row r="48" spans="1:16" s="34" customFormat="1" ht="36.75" customHeight="1" x14ac:dyDescent="0.25">
      <c r="A48" s="17" t="s">
        <v>7</v>
      </c>
      <c r="B48" s="13">
        <f ca="1">OFFSET(INDEX(data!E:E,MATCH(B45,data!E:E,0)),-6,(H45-5)-(B47-1))</f>
        <v>46169</v>
      </c>
      <c r="C48" s="17" t="s">
        <v>11</v>
      </c>
      <c r="D48" s="15">
        <f ca="1">OFFSET(INDEX(data!E:E,MATCH(B45,data!E:E,0)),-2,(H45-5)-(B47-1))</f>
        <v>1055.3</v>
      </c>
      <c r="E48" s="17" t="s">
        <v>14</v>
      </c>
      <c r="F48" s="15">
        <f ca="1">(D48-D47)/(6*_xlfn.STDEV.P(OFFSET(INDEX(data!E:E,MATCH(B45,data!E:E,0)),-1,(H45-5)-(B47-1),1,B47)))</f>
        <v>3.0504497955584857</v>
      </c>
      <c r="G48" s="42"/>
      <c r="H48" s="37"/>
      <c r="I48" s="2"/>
      <c r="J48" s="32" t="str">
        <f t="shared" ca="1" si="17"/>
        <v>PART01</v>
      </c>
      <c r="K48" s="32" t="str">
        <f t="shared" ca="1" si="17"/>
        <v>Upper Sub-Assembly</v>
      </c>
      <c r="L48" s="34" t="str">
        <f t="shared" si="17"/>
        <v>PART01_02R_Z</v>
      </c>
      <c r="M48" s="34" t="str">
        <f ca="1">M47</f>
        <v>Pos Z</v>
      </c>
      <c r="N48" s="33">
        <f t="shared" ca="1" si="16"/>
        <v>-0.69419354838669278</v>
      </c>
      <c r="O48" s="33">
        <f t="shared" ca="1" si="16"/>
        <v>3.0504497955584857</v>
      </c>
      <c r="P48" s="33">
        <f t="shared" ca="1" si="16"/>
        <v>2.3445822729737502</v>
      </c>
    </row>
    <row r="49" spans="1:16" s="34" customFormat="1" ht="36.75" customHeight="1" thickBot="1" x14ac:dyDescent="0.3">
      <c r="A49" s="18" t="s">
        <v>8</v>
      </c>
      <c r="B49" s="14">
        <f ca="1">OFFSET(INDEX(data!E:E,MATCH(B45,data!E:E,0)),-6,H45-5)</f>
        <v>46186</v>
      </c>
      <c r="C49" s="18" t="s">
        <v>17</v>
      </c>
      <c r="D49" s="16">
        <f ca="1">OFFSET(INDEX(data!E:E,MATCH(B45,data!E:E,0)),-1,H45-5)</f>
        <v>1051.68</v>
      </c>
      <c r="E49" s="18" t="s">
        <v>15</v>
      </c>
      <c r="F49" s="16">
        <f ca="1">MIN((D48-F46)/(3*_xlfn.STDEV.P(OFFSET(INDEX(data!E:E,MATCH(B45,data!E:E,0)),-1,(H45-5)-(B47-1),1,B47))),(F46-D47)/(3*_xlfn.STDEV.P(OFFSET(INDEX(data!E:E,MATCH(B45,data!E:E,0)),-1,(H45-5)-(B47-1),1,B47))))</f>
        <v>2.3445822729737502</v>
      </c>
      <c r="G49" s="43"/>
      <c r="H49" s="38"/>
      <c r="I49" s="2"/>
      <c r="J49" s="32" t="str">
        <f t="shared" ca="1" si="17"/>
        <v>PART01</v>
      </c>
      <c r="K49" s="32" t="str">
        <f t="shared" ca="1" si="17"/>
        <v>Upper Sub-Assembly</v>
      </c>
      <c r="L49" s="34" t="str">
        <f t="shared" si="17"/>
        <v>PART01_02R_Z</v>
      </c>
      <c r="M49" s="34" t="str">
        <f ca="1">M48</f>
        <v>Pos Z</v>
      </c>
      <c r="N49" s="33">
        <f t="shared" ca="1" si="16"/>
        <v>-0.69419354838669278</v>
      </c>
      <c r="O49" s="33">
        <f t="shared" ca="1" si="16"/>
        <v>3.0504497955584857</v>
      </c>
      <c r="P49" s="33">
        <f t="shared" ca="1" si="16"/>
        <v>2.3445822729737502</v>
      </c>
    </row>
    <row r="50" spans="1:16" s="34" customFormat="1" ht="36.75" customHeight="1" thickBot="1" x14ac:dyDescent="0.3">
      <c r="A50" s="29" t="s">
        <v>4</v>
      </c>
      <c r="B50" s="11" t="s">
        <v>52</v>
      </c>
      <c r="C50" s="19" t="s">
        <v>16</v>
      </c>
      <c r="D50" s="39" t="str">
        <f ca="1">OFFSET(INDEX(data!E:E,MATCH(B50,data!E:E,0)),0,1)</f>
        <v>Lower Part - Outboard vs Outboard Holes - W-Pitch</v>
      </c>
      <c r="E50" s="39"/>
      <c r="F50" s="39"/>
      <c r="G50" s="40"/>
      <c r="H50" s="36">
        <f ca="1">OFFSET(INDEX(data!E:E,MATCH(B50,data!E:E,0)),0,3)</f>
        <v>62</v>
      </c>
      <c r="I50" s="2"/>
      <c r="J50" s="32" t="str">
        <f ca="1">OFFSET(INDEX(data!E:E,MATCH(B50,data!E:E,0)),0,-2)</f>
        <v>PART01</v>
      </c>
      <c r="K50" s="32" t="str">
        <f ca="1">OFFSET(INDEX(data!E:E,MATCH(B50,data!E:E,0)),0,-1)</f>
        <v>Upper Sub-Assembly</v>
      </c>
      <c r="L50" s="34" t="str">
        <f>B50</f>
        <v>PART01_P1_Y</v>
      </c>
      <c r="M50" s="34" t="str">
        <f ca="1">B51</f>
        <v>Dist Y</v>
      </c>
      <c r="N50" s="33">
        <f ca="1">F52</f>
        <v>3.1867741935482172</v>
      </c>
      <c r="O50" s="33">
        <f ca="1">F53</f>
        <v>1.2132486986309188</v>
      </c>
      <c r="P50" s="33">
        <f ca="1">F54</f>
        <v>-7.5534515753404641E-2</v>
      </c>
    </row>
    <row r="51" spans="1:16" s="34" customFormat="1" ht="36.75" customHeight="1" x14ac:dyDescent="0.25">
      <c r="A51" s="17" t="s">
        <v>5</v>
      </c>
      <c r="B51" s="12" t="str">
        <f ca="1">OFFSET(INDEX(data!E:E,MATCH(B50,data!E:E,0)),0,2)</f>
        <v>Dist Y</v>
      </c>
      <c r="C51" s="20" t="s">
        <v>9</v>
      </c>
      <c r="D51" s="22">
        <f ca="1">OFFSET(INDEX(data!E:E,MATCH(B50,data!E:E,0)),-4,(H50-5)-(B52-1))</f>
        <v>652</v>
      </c>
      <c r="E51" s="20" t="s">
        <v>12</v>
      </c>
      <c r="F51" s="22">
        <f ca="1">AVERAGE(OFFSET(INDEX(data!E:E,MATCH(B50,data!E:E,0)),-1,(H50-5)-(B52-1),1,B52))</f>
        <v>655.18677419354822</v>
      </c>
      <c r="G51" s="41"/>
      <c r="H51" s="37"/>
      <c r="I51" s="2"/>
      <c r="J51" s="32" t="str">
        <f ca="1">J50</f>
        <v>PART01</v>
      </c>
      <c r="K51" s="32" t="str">
        <f ca="1">K50</f>
        <v>Upper Sub-Assembly</v>
      </c>
      <c r="L51" s="34" t="str">
        <f>L50</f>
        <v>PART01_P1_Y</v>
      </c>
      <c r="M51" s="34" t="str">
        <f ca="1">M50</f>
        <v>Dist Y</v>
      </c>
      <c r="N51" s="33">
        <f t="shared" ref="N51:P54" ca="1" si="18">N50</f>
        <v>3.1867741935482172</v>
      </c>
      <c r="O51" s="33">
        <f t="shared" ca="1" si="18"/>
        <v>1.2132486986309188</v>
      </c>
      <c r="P51" s="33">
        <f t="shared" ca="1" si="18"/>
        <v>-7.5534515753404641E-2</v>
      </c>
    </row>
    <row r="52" spans="1:16" s="34" customFormat="1" ht="36.75" customHeight="1" x14ac:dyDescent="0.25">
      <c r="A52" s="17" t="s">
        <v>6</v>
      </c>
      <c r="B52" s="21">
        <f ca="1">H50</f>
        <v>62</v>
      </c>
      <c r="C52" s="17" t="s">
        <v>10</v>
      </c>
      <c r="D52" s="15">
        <f ca="1">OFFSET(INDEX(data!E:E,MATCH(B50,data!E:E,0)),-3,(H50-5)-(B52-1))</f>
        <v>649</v>
      </c>
      <c r="E52" s="17" t="s">
        <v>13</v>
      </c>
      <c r="F52" s="15">
        <f ca="1">F51-D51</f>
        <v>3.1867741935482172</v>
      </c>
      <c r="G52" s="42"/>
      <c r="H52" s="37"/>
      <c r="I52" s="2"/>
      <c r="J52" s="32" t="str">
        <f t="shared" ref="J52:L54" ca="1" si="19">J51</f>
        <v>PART01</v>
      </c>
      <c r="K52" s="32" t="str">
        <f t="shared" ca="1" si="19"/>
        <v>Upper Sub-Assembly</v>
      </c>
      <c r="L52" s="34" t="str">
        <f t="shared" si="19"/>
        <v>PART01_P1_Y</v>
      </c>
      <c r="M52" s="34" t="str">
        <f ca="1">M51</f>
        <v>Dist Y</v>
      </c>
      <c r="N52" s="33">
        <f t="shared" ca="1" si="18"/>
        <v>3.1867741935482172</v>
      </c>
      <c r="O52" s="33">
        <f t="shared" ca="1" si="18"/>
        <v>1.2132486986309188</v>
      </c>
      <c r="P52" s="33">
        <f t="shared" ca="1" si="18"/>
        <v>-7.5534515753404641E-2</v>
      </c>
    </row>
    <row r="53" spans="1:16" s="34" customFormat="1" ht="36.75" customHeight="1" x14ac:dyDescent="0.25">
      <c r="A53" s="17" t="s">
        <v>7</v>
      </c>
      <c r="B53" s="13">
        <f ca="1">OFFSET(INDEX(data!E:E,MATCH(B50,data!E:E,0)),-6,(H50-5)-(B52-1))</f>
        <v>46169</v>
      </c>
      <c r="C53" s="17" t="s">
        <v>11</v>
      </c>
      <c r="D53" s="15">
        <f ca="1">OFFSET(INDEX(data!E:E,MATCH(B50,data!E:E,0)),-2,(H50-5)-(B52-1))</f>
        <v>655</v>
      </c>
      <c r="E53" s="17" t="s">
        <v>14</v>
      </c>
      <c r="F53" s="15">
        <f ca="1">(D53-D52)/(6*_xlfn.STDEV.P(OFFSET(INDEX(data!E:E,MATCH(B50,data!E:E,0)),-1,(H50-5)-(B52-1),1,B52)))</f>
        <v>1.2132486986309188</v>
      </c>
      <c r="G53" s="42"/>
      <c r="H53" s="37"/>
      <c r="I53" s="2"/>
      <c r="J53" s="32" t="str">
        <f t="shared" ca="1" si="19"/>
        <v>PART01</v>
      </c>
      <c r="K53" s="32" t="str">
        <f t="shared" ca="1" si="19"/>
        <v>Upper Sub-Assembly</v>
      </c>
      <c r="L53" s="34" t="str">
        <f t="shared" si="19"/>
        <v>PART01_P1_Y</v>
      </c>
      <c r="M53" s="34" t="str">
        <f ca="1">M52</f>
        <v>Dist Y</v>
      </c>
      <c r="N53" s="33">
        <f t="shared" ca="1" si="18"/>
        <v>3.1867741935482172</v>
      </c>
      <c r="O53" s="33">
        <f t="shared" ca="1" si="18"/>
        <v>1.2132486986309188</v>
      </c>
      <c r="P53" s="33">
        <f t="shared" ca="1" si="18"/>
        <v>-7.5534515753404641E-2</v>
      </c>
    </row>
    <row r="54" spans="1:16" s="34" customFormat="1" ht="36.75" customHeight="1" thickBot="1" x14ac:dyDescent="0.3">
      <c r="A54" s="18" t="s">
        <v>8</v>
      </c>
      <c r="B54" s="14">
        <f ca="1">OFFSET(INDEX(data!E:E,MATCH(B50,data!E:E,0)),-6,H50-5)</f>
        <v>46186</v>
      </c>
      <c r="C54" s="18" t="s">
        <v>17</v>
      </c>
      <c r="D54" s="16">
        <f ca="1">OFFSET(INDEX(data!E:E,MATCH(B50,data!E:E,0)),-1,H50-5)</f>
        <v>654.82000000000005</v>
      </c>
      <c r="E54" s="18" t="s">
        <v>15</v>
      </c>
      <c r="F54" s="16">
        <f ca="1">MIN((D53-F51)/(3*_xlfn.STDEV.P(OFFSET(INDEX(data!E:E,MATCH(B50,data!E:E,0)),-1,(H50-5)-(B52-1),1,B52))),(F51-D52)/(3*_xlfn.STDEV.P(OFFSET(INDEX(data!E:E,MATCH(B50,data!E:E,0)),-1,(H50-5)-(B52-1),1,B52))))</f>
        <v>-7.5534515753404641E-2</v>
      </c>
      <c r="G54" s="43"/>
      <c r="H54" s="38"/>
      <c r="I54" s="2"/>
      <c r="J54" s="32" t="str">
        <f t="shared" ca="1" si="19"/>
        <v>PART01</v>
      </c>
      <c r="K54" s="32" t="str">
        <f t="shared" ca="1" si="19"/>
        <v>Upper Sub-Assembly</v>
      </c>
      <c r="L54" s="34" t="str">
        <f t="shared" si="19"/>
        <v>PART01_P1_Y</v>
      </c>
      <c r="M54" s="34" t="str">
        <f ca="1">M53</f>
        <v>Dist Y</v>
      </c>
      <c r="N54" s="33">
        <f t="shared" ca="1" si="18"/>
        <v>3.1867741935482172</v>
      </c>
      <c r="O54" s="33">
        <f t="shared" ca="1" si="18"/>
        <v>1.2132486986309188</v>
      </c>
      <c r="P54" s="33">
        <f t="shared" ca="1" si="18"/>
        <v>-7.5534515753404641E-2</v>
      </c>
    </row>
    <row r="55" spans="1:16" s="34" customFormat="1" ht="36.75" customHeight="1" thickBot="1" x14ac:dyDescent="0.3">
      <c r="A55" s="29" t="s">
        <v>4</v>
      </c>
      <c r="B55" s="11" t="s">
        <v>56</v>
      </c>
      <c r="C55" s="19" t="s">
        <v>16</v>
      </c>
      <c r="D55" s="39" t="str">
        <f ca="1">OFFSET(INDEX(data!E:E,MATCH(B55,data!E:E,0)),0,1)</f>
        <v>Lower Part Inboard LH Hole - Pos X</v>
      </c>
      <c r="E55" s="39"/>
      <c r="F55" s="39"/>
      <c r="G55" s="40"/>
      <c r="H55" s="36">
        <f ca="1">OFFSET(INDEX(data!E:E,MATCH(B55,data!E:E,0)),0,3)</f>
        <v>62</v>
      </c>
      <c r="I55" s="2"/>
      <c r="J55" s="32" t="str">
        <f ca="1">OFFSET(INDEX(data!E:E,MATCH(B55,data!E:E,0)),0,-2)</f>
        <v>PART02</v>
      </c>
      <c r="K55" s="32" t="str">
        <f ca="1">OFFSET(INDEX(data!E:E,MATCH(B55,data!E:E,0)),0,-1)</f>
        <v>Lower Sub-Assembly</v>
      </c>
      <c r="L55" s="34" t="str">
        <f>B55</f>
        <v>PART02_01L_X</v>
      </c>
      <c r="M55" s="34" t="str">
        <f ca="1">B56</f>
        <v>Pos X</v>
      </c>
      <c r="N55" s="33">
        <f ca="1">F57</f>
        <v>0.17983870967731264</v>
      </c>
      <c r="O55" s="33">
        <f ca="1">F58</f>
        <v>1.6882372027598782</v>
      </c>
      <c r="P55" s="33">
        <f ca="1">F59</f>
        <v>1.6123346027164853</v>
      </c>
    </row>
    <row r="56" spans="1:16" s="34" customFormat="1" ht="36.75" customHeight="1" x14ac:dyDescent="0.25">
      <c r="A56" s="17" t="s">
        <v>5</v>
      </c>
      <c r="B56" s="12" t="str">
        <f ca="1">OFFSET(INDEX(data!E:E,MATCH(B55,data!E:E,0)),0,2)</f>
        <v>Pos X</v>
      </c>
      <c r="C56" s="20" t="s">
        <v>9</v>
      </c>
      <c r="D56" s="22">
        <f ca="1">OFFSET(INDEX(data!E:E,MATCH(B55,data!E:E,0)),-4,(H55-5)-(B57-1))</f>
        <v>420</v>
      </c>
      <c r="E56" s="20" t="s">
        <v>12</v>
      </c>
      <c r="F56" s="22">
        <f ca="1">AVERAGE(OFFSET(INDEX(data!E:E,MATCH(B55,data!E:E,0)),-1,(H55-5)-(B57-1),1,B57))</f>
        <v>420.17983870967731</v>
      </c>
      <c r="G56" s="41"/>
      <c r="H56" s="37"/>
      <c r="I56" s="2"/>
      <c r="J56" s="32" t="str">
        <f ca="1">J55</f>
        <v>PART02</v>
      </c>
      <c r="K56" s="32" t="str">
        <f ca="1">K55</f>
        <v>Lower Sub-Assembly</v>
      </c>
      <c r="L56" s="34" t="str">
        <f>L55</f>
        <v>PART02_01L_X</v>
      </c>
      <c r="M56" s="34" t="str">
        <f ca="1">M55</f>
        <v>Pos X</v>
      </c>
      <c r="N56" s="33">
        <f t="shared" ref="N56:P59" ca="1" si="20">N55</f>
        <v>0.17983870967731264</v>
      </c>
      <c r="O56" s="33">
        <f t="shared" ca="1" si="20"/>
        <v>1.6882372027598782</v>
      </c>
      <c r="P56" s="33">
        <f t="shared" ca="1" si="20"/>
        <v>1.6123346027164853</v>
      </c>
    </row>
    <row r="57" spans="1:16" s="34" customFormat="1" ht="36.75" customHeight="1" x14ac:dyDescent="0.25">
      <c r="A57" s="17" t="s">
        <v>6</v>
      </c>
      <c r="B57" s="21">
        <f ca="1">H55</f>
        <v>62</v>
      </c>
      <c r="C57" s="17" t="s">
        <v>10</v>
      </c>
      <c r="D57" s="15">
        <f ca="1">OFFSET(INDEX(data!E:E,MATCH(B55,data!E:E,0)),-3,(H55-5)-(B57-1))</f>
        <v>416</v>
      </c>
      <c r="E57" s="17" t="s">
        <v>13</v>
      </c>
      <c r="F57" s="15">
        <f ca="1">F56-D56</f>
        <v>0.17983870967731264</v>
      </c>
      <c r="G57" s="42"/>
      <c r="H57" s="37"/>
      <c r="I57" s="2"/>
      <c r="J57" s="32" t="str">
        <f t="shared" ref="J57:L59" ca="1" si="21">J56</f>
        <v>PART02</v>
      </c>
      <c r="K57" s="32" t="str">
        <f t="shared" ca="1" si="21"/>
        <v>Lower Sub-Assembly</v>
      </c>
      <c r="L57" s="34" t="str">
        <f t="shared" si="21"/>
        <v>PART02_01L_X</v>
      </c>
      <c r="M57" s="34" t="str">
        <f ca="1">M56</f>
        <v>Pos X</v>
      </c>
      <c r="N57" s="33">
        <f t="shared" ca="1" si="20"/>
        <v>0.17983870967731264</v>
      </c>
      <c r="O57" s="33">
        <f t="shared" ca="1" si="20"/>
        <v>1.6882372027598782</v>
      </c>
      <c r="P57" s="33">
        <f t="shared" ca="1" si="20"/>
        <v>1.6123346027164853</v>
      </c>
    </row>
    <row r="58" spans="1:16" s="34" customFormat="1" ht="36.75" customHeight="1" x14ac:dyDescent="0.25">
      <c r="A58" s="17" t="s">
        <v>7</v>
      </c>
      <c r="B58" s="13">
        <f ca="1">OFFSET(INDEX(data!E:E,MATCH(B55,data!E:E,0)),-6,(H55-5)-(B57-1))</f>
        <v>46169</v>
      </c>
      <c r="C58" s="17" t="s">
        <v>11</v>
      </c>
      <c r="D58" s="15">
        <f ca="1">OFFSET(INDEX(data!E:E,MATCH(B55,data!E:E,0)),-2,(H55-5)-(B57-1))</f>
        <v>424</v>
      </c>
      <c r="E58" s="17" t="s">
        <v>14</v>
      </c>
      <c r="F58" s="15">
        <f ca="1">(D58-D57)/(6*_xlfn.STDEV.P(OFFSET(INDEX(data!E:E,MATCH(B55,data!E:E,0)),-1,(H55-5)-(B57-1),1,B57)))</f>
        <v>1.6882372027598782</v>
      </c>
      <c r="G58" s="42"/>
      <c r="H58" s="37"/>
      <c r="I58" s="2"/>
      <c r="J58" s="32" t="str">
        <f t="shared" ca="1" si="21"/>
        <v>PART02</v>
      </c>
      <c r="K58" s="32" t="str">
        <f t="shared" ca="1" si="21"/>
        <v>Lower Sub-Assembly</v>
      </c>
      <c r="L58" s="34" t="str">
        <f t="shared" si="21"/>
        <v>PART02_01L_X</v>
      </c>
      <c r="M58" s="34" t="str">
        <f ca="1">M57</f>
        <v>Pos X</v>
      </c>
      <c r="N58" s="33">
        <f t="shared" ca="1" si="20"/>
        <v>0.17983870967731264</v>
      </c>
      <c r="O58" s="33">
        <f t="shared" ca="1" si="20"/>
        <v>1.6882372027598782</v>
      </c>
      <c r="P58" s="33">
        <f t="shared" ca="1" si="20"/>
        <v>1.6123346027164853</v>
      </c>
    </row>
    <row r="59" spans="1:16" s="34" customFormat="1" ht="36.75" customHeight="1" thickBot="1" x14ac:dyDescent="0.3">
      <c r="A59" s="18" t="s">
        <v>8</v>
      </c>
      <c r="B59" s="14">
        <f ca="1">OFFSET(INDEX(data!E:E,MATCH(B55,data!E:E,0)),-6,H55-5)</f>
        <v>46186</v>
      </c>
      <c r="C59" s="18" t="s">
        <v>17</v>
      </c>
      <c r="D59" s="16">
        <f ca="1">OFFSET(INDEX(data!E:E,MATCH(B55,data!E:E,0)),-1,H55-5)</f>
        <v>420.88</v>
      </c>
      <c r="E59" s="18" t="s">
        <v>15</v>
      </c>
      <c r="F59" s="16">
        <f ca="1">MIN((D58-F56)/(3*_xlfn.STDEV.P(OFFSET(INDEX(data!E:E,MATCH(B55,data!E:E,0)),-1,(H55-5)-(B57-1),1,B57))),(F56-D57)/(3*_xlfn.STDEV.P(OFFSET(INDEX(data!E:E,MATCH(B55,data!E:E,0)),-1,(H55-5)-(B57-1),1,B57))))</f>
        <v>1.6123346027164853</v>
      </c>
      <c r="G59" s="43"/>
      <c r="H59" s="38"/>
      <c r="I59" s="2"/>
      <c r="J59" s="32" t="str">
        <f t="shared" ca="1" si="21"/>
        <v>PART02</v>
      </c>
      <c r="K59" s="32" t="str">
        <f t="shared" ca="1" si="21"/>
        <v>Lower Sub-Assembly</v>
      </c>
      <c r="L59" s="34" t="str">
        <f t="shared" si="21"/>
        <v>PART02_01L_X</v>
      </c>
      <c r="M59" s="34" t="str">
        <f ca="1">M58</f>
        <v>Pos X</v>
      </c>
      <c r="N59" s="33">
        <f t="shared" ca="1" si="20"/>
        <v>0.17983870967731264</v>
      </c>
      <c r="O59" s="33">
        <f t="shared" ca="1" si="20"/>
        <v>1.6882372027598782</v>
      </c>
      <c r="P59" s="33">
        <f t="shared" ca="1" si="20"/>
        <v>1.6123346027164853</v>
      </c>
    </row>
    <row r="60" spans="1:16" s="34" customFormat="1" ht="36.75" customHeight="1" thickBot="1" x14ac:dyDescent="0.3">
      <c r="A60" s="29" t="s">
        <v>4</v>
      </c>
      <c r="B60" s="11" t="s">
        <v>58</v>
      </c>
      <c r="C60" s="19" t="s">
        <v>16</v>
      </c>
      <c r="D60" s="39" t="str">
        <f ca="1">OFFSET(INDEX(data!E:E,MATCH(B60,data!E:E,0)),0,1)</f>
        <v>Lower Part Inboard LH Hole - Pos Y</v>
      </c>
      <c r="E60" s="39"/>
      <c r="F60" s="39"/>
      <c r="G60" s="40"/>
      <c r="H60" s="36">
        <f ca="1">OFFSET(INDEX(data!E:E,MATCH(B60,data!E:E,0)),0,3)</f>
        <v>62</v>
      </c>
      <c r="I60" s="2"/>
      <c r="J60" s="32" t="str">
        <f ca="1">OFFSET(INDEX(data!E:E,MATCH(B60,data!E:E,0)),0,-2)</f>
        <v>PART02</v>
      </c>
      <c r="K60" s="32" t="str">
        <f ca="1">OFFSET(INDEX(data!E:E,MATCH(B60,data!E:E,0)),0,-1)</f>
        <v>Lower Sub-Assembly</v>
      </c>
      <c r="L60" s="34" t="str">
        <f>B60</f>
        <v>PART02_01L_Y</v>
      </c>
      <c r="M60" s="34" t="str">
        <f ca="1">B61</f>
        <v>Pos Y</v>
      </c>
      <c r="N60" s="33">
        <f ca="1">F62</f>
        <v>-1.110806451612973</v>
      </c>
      <c r="O60" s="33">
        <f ca="1">F63</f>
        <v>3.0337854103897968</v>
      </c>
      <c r="P60" s="33">
        <f ca="1">F64</f>
        <v>2.1912983087222226</v>
      </c>
    </row>
    <row r="61" spans="1:16" s="34" customFormat="1" ht="36.75" customHeight="1" x14ac:dyDescent="0.25">
      <c r="A61" s="17" t="s">
        <v>5</v>
      </c>
      <c r="B61" s="12" t="str">
        <f ca="1">OFFSET(INDEX(data!E:E,MATCH(B60,data!E:E,0)),0,2)</f>
        <v>Pos Y</v>
      </c>
      <c r="C61" s="20" t="s">
        <v>9</v>
      </c>
      <c r="D61" s="22">
        <f ca="1">OFFSET(INDEX(data!E:E,MATCH(B60,data!E:E,0)),-4,(H60-5)-(B62-1))</f>
        <v>-459.6</v>
      </c>
      <c r="E61" s="20" t="s">
        <v>12</v>
      </c>
      <c r="F61" s="22">
        <f ca="1">AVERAGE(OFFSET(INDEX(data!E:E,MATCH(B60,data!E:E,0)),-1,(H60-5)-(B62-1),1,B62))</f>
        <v>-460.710806451613</v>
      </c>
      <c r="G61" s="41"/>
      <c r="H61" s="37"/>
      <c r="I61" s="2"/>
      <c r="J61" s="32" t="str">
        <f ca="1">J60</f>
        <v>PART02</v>
      </c>
      <c r="K61" s="32" t="str">
        <f ca="1">K60</f>
        <v>Lower Sub-Assembly</v>
      </c>
      <c r="L61" s="34" t="str">
        <f>L60</f>
        <v>PART02_01L_Y</v>
      </c>
      <c r="M61" s="34" t="str">
        <f ca="1">M60</f>
        <v>Pos Y</v>
      </c>
      <c r="N61" s="33">
        <f t="shared" ref="N61:P64" ca="1" si="22">N60</f>
        <v>-1.110806451612973</v>
      </c>
      <c r="O61" s="33">
        <f t="shared" ca="1" si="22"/>
        <v>3.0337854103897968</v>
      </c>
      <c r="P61" s="33">
        <f t="shared" ca="1" si="22"/>
        <v>2.1912983087222226</v>
      </c>
    </row>
    <row r="62" spans="1:16" s="34" customFormat="1" ht="36.75" customHeight="1" x14ac:dyDescent="0.25">
      <c r="A62" s="17" t="s">
        <v>6</v>
      </c>
      <c r="B62" s="21">
        <f ca="1">H60</f>
        <v>62</v>
      </c>
      <c r="C62" s="17" t="s">
        <v>10</v>
      </c>
      <c r="D62" s="15">
        <f ca="1">OFFSET(INDEX(data!E:E,MATCH(B60,data!E:E,0)),-3,(H60-5)-(B62-1))</f>
        <v>-463.6</v>
      </c>
      <c r="E62" s="17" t="s">
        <v>13</v>
      </c>
      <c r="F62" s="15">
        <f ca="1">F61-D61</f>
        <v>-1.110806451612973</v>
      </c>
      <c r="G62" s="42"/>
      <c r="H62" s="37"/>
      <c r="I62" s="2"/>
      <c r="J62" s="32" t="str">
        <f t="shared" ref="J62:L64" ca="1" si="23">J61</f>
        <v>PART02</v>
      </c>
      <c r="K62" s="32" t="str">
        <f t="shared" ca="1" si="23"/>
        <v>Lower Sub-Assembly</v>
      </c>
      <c r="L62" s="34" t="str">
        <f t="shared" si="23"/>
        <v>PART02_01L_Y</v>
      </c>
      <c r="M62" s="34" t="str">
        <f ca="1">M61</f>
        <v>Pos Y</v>
      </c>
      <c r="N62" s="33">
        <f t="shared" ca="1" si="22"/>
        <v>-1.110806451612973</v>
      </c>
      <c r="O62" s="33">
        <f t="shared" ca="1" si="22"/>
        <v>3.0337854103897968</v>
      </c>
      <c r="P62" s="33">
        <f t="shared" ca="1" si="22"/>
        <v>2.1912983087222226</v>
      </c>
    </row>
    <row r="63" spans="1:16" s="34" customFormat="1" ht="36.75" customHeight="1" x14ac:dyDescent="0.25">
      <c r="A63" s="17" t="s">
        <v>7</v>
      </c>
      <c r="B63" s="13">
        <f ca="1">OFFSET(INDEX(data!E:E,MATCH(B60,data!E:E,0)),-6,(H60-5)-(B62-1))</f>
        <v>46169</v>
      </c>
      <c r="C63" s="17" t="s">
        <v>11</v>
      </c>
      <c r="D63" s="15">
        <f ca="1">OFFSET(INDEX(data!E:E,MATCH(B60,data!E:E,0)),-2,(H60-5)-(B62-1))</f>
        <v>-455.6</v>
      </c>
      <c r="E63" s="17" t="s">
        <v>14</v>
      </c>
      <c r="F63" s="15">
        <f ca="1">(D63-D62)/(6*_xlfn.STDEV.P(OFFSET(INDEX(data!E:E,MATCH(B60,data!E:E,0)),-1,(H60-5)-(B62-1),1,B62)))</f>
        <v>3.0337854103897968</v>
      </c>
      <c r="G63" s="42"/>
      <c r="H63" s="37"/>
      <c r="I63" s="2"/>
      <c r="J63" s="32" t="str">
        <f t="shared" ca="1" si="23"/>
        <v>PART02</v>
      </c>
      <c r="K63" s="32" t="str">
        <f t="shared" ca="1" si="23"/>
        <v>Lower Sub-Assembly</v>
      </c>
      <c r="L63" s="34" t="str">
        <f t="shared" si="23"/>
        <v>PART02_01L_Y</v>
      </c>
      <c r="M63" s="34" t="str">
        <f ca="1">M62</f>
        <v>Pos Y</v>
      </c>
      <c r="N63" s="33">
        <f t="shared" ca="1" si="22"/>
        <v>-1.110806451612973</v>
      </c>
      <c r="O63" s="33">
        <f t="shared" ca="1" si="22"/>
        <v>3.0337854103897968</v>
      </c>
      <c r="P63" s="33">
        <f t="shared" ca="1" si="22"/>
        <v>2.1912983087222226</v>
      </c>
    </row>
    <row r="64" spans="1:16" s="34" customFormat="1" ht="36.75" customHeight="1" thickBot="1" x14ac:dyDescent="0.3">
      <c r="A64" s="18" t="s">
        <v>8</v>
      </c>
      <c r="B64" s="14">
        <f ca="1">OFFSET(INDEX(data!E:E,MATCH(B60,data!E:E,0)),-6,H60-5)</f>
        <v>46186</v>
      </c>
      <c r="C64" s="18" t="s">
        <v>17</v>
      </c>
      <c r="D64" s="16">
        <f ca="1">OFFSET(INDEX(data!E:E,MATCH(B60,data!E:E,0)),-1,H60-5)</f>
        <v>-460.66</v>
      </c>
      <c r="E64" s="18" t="s">
        <v>15</v>
      </c>
      <c r="F64" s="16">
        <f ca="1">MIN((D63-F61)/(3*_xlfn.STDEV.P(OFFSET(INDEX(data!E:E,MATCH(B60,data!E:E,0)),-1,(H60-5)-(B62-1),1,B62))),(F61-D62)/(3*_xlfn.STDEV.P(OFFSET(INDEX(data!E:E,MATCH(B60,data!E:E,0)),-1,(H60-5)-(B62-1),1,B62))))</f>
        <v>2.1912983087222226</v>
      </c>
      <c r="G64" s="43"/>
      <c r="H64" s="38"/>
      <c r="I64" s="2"/>
      <c r="J64" s="32" t="str">
        <f t="shared" ca="1" si="23"/>
        <v>PART02</v>
      </c>
      <c r="K64" s="32" t="str">
        <f t="shared" ca="1" si="23"/>
        <v>Lower Sub-Assembly</v>
      </c>
      <c r="L64" s="34" t="str">
        <f t="shared" si="23"/>
        <v>PART02_01L_Y</v>
      </c>
      <c r="M64" s="34" t="str">
        <f ca="1">M63</f>
        <v>Pos Y</v>
      </c>
      <c r="N64" s="33">
        <f t="shared" ca="1" si="22"/>
        <v>-1.110806451612973</v>
      </c>
      <c r="O64" s="33">
        <f t="shared" ca="1" si="22"/>
        <v>3.0337854103897968</v>
      </c>
      <c r="P64" s="33">
        <f t="shared" ca="1" si="22"/>
        <v>2.1912983087222226</v>
      </c>
    </row>
    <row r="65" spans="1:16" s="34" customFormat="1" ht="36.75" customHeight="1" thickBot="1" x14ac:dyDescent="0.3">
      <c r="A65" s="29" t="s">
        <v>4</v>
      </c>
      <c r="B65" s="11" t="s">
        <v>60</v>
      </c>
      <c r="C65" s="19" t="s">
        <v>16</v>
      </c>
      <c r="D65" s="39" t="str">
        <f ca="1">OFFSET(INDEX(data!E:E,MATCH(B65,data!E:E,0)),0,1)</f>
        <v>Lower Part Inboard LH Hole - Pos Z</v>
      </c>
      <c r="E65" s="39"/>
      <c r="F65" s="39"/>
      <c r="G65" s="40"/>
      <c r="H65" s="36">
        <f ca="1">OFFSET(INDEX(data!E:E,MATCH(B65,data!E:E,0)),0,3)</f>
        <v>62</v>
      </c>
      <c r="I65" s="2"/>
      <c r="J65" s="32" t="str">
        <f ca="1">OFFSET(INDEX(data!E:E,MATCH(B65,data!E:E,0)),0,-2)</f>
        <v>PART02</v>
      </c>
      <c r="K65" s="32" t="str">
        <f ca="1">OFFSET(INDEX(data!E:E,MATCH(B65,data!E:E,0)),0,-1)</f>
        <v>Lower Sub-Assembly</v>
      </c>
      <c r="L65" s="34" t="str">
        <f>B65</f>
        <v>PART02_01L_Z</v>
      </c>
      <c r="M65" s="34" t="str">
        <f ca="1">B66</f>
        <v>Pos Z</v>
      </c>
      <c r="N65" s="33">
        <f ca="1">F67</f>
        <v>-2.3230645161288521</v>
      </c>
      <c r="O65" s="33">
        <f ca="1">F68</f>
        <v>6.0230710535658298</v>
      </c>
      <c r="P65" s="33">
        <f ca="1">F69</f>
        <v>2.5250753929004301</v>
      </c>
    </row>
    <row r="66" spans="1:16" s="34" customFormat="1" ht="36.75" customHeight="1" x14ac:dyDescent="0.25">
      <c r="A66" s="17" t="s">
        <v>5</v>
      </c>
      <c r="B66" s="12" t="str">
        <f ca="1">OFFSET(INDEX(data!E:E,MATCH(B65,data!E:E,0)),0,2)</f>
        <v>Pos Z</v>
      </c>
      <c r="C66" s="20" t="s">
        <v>9</v>
      </c>
      <c r="D66" s="22">
        <f ca="1">OFFSET(INDEX(data!E:E,MATCH(B65,data!E:E,0)),-4,(H65-5)-(B67-1))</f>
        <v>1071.4000000000001</v>
      </c>
      <c r="E66" s="20" t="s">
        <v>12</v>
      </c>
      <c r="F66" s="22">
        <f ca="1">AVERAGE(OFFSET(INDEX(data!E:E,MATCH(B65,data!E:E,0)),-1,(H65-5)-(B67-1),1,B67))</f>
        <v>1069.0769354838712</v>
      </c>
      <c r="G66" s="41"/>
      <c r="H66" s="37"/>
      <c r="I66" s="2"/>
      <c r="J66" s="32" t="str">
        <f ca="1">J65</f>
        <v>PART02</v>
      </c>
      <c r="K66" s="32" t="str">
        <f ca="1">K65</f>
        <v>Lower Sub-Assembly</v>
      </c>
      <c r="L66" s="34" t="str">
        <f>L65</f>
        <v>PART02_01L_Z</v>
      </c>
      <c r="M66" s="34" t="str">
        <f ca="1">M65</f>
        <v>Pos Z</v>
      </c>
      <c r="N66" s="33">
        <f t="shared" ref="N66:P69" ca="1" si="24">N65</f>
        <v>-2.3230645161288521</v>
      </c>
      <c r="O66" s="33">
        <f t="shared" ca="1" si="24"/>
        <v>6.0230710535658298</v>
      </c>
      <c r="P66" s="33">
        <f t="shared" ca="1" si="24"/>
        <v>2.5250753929004301</v>
      </c>
    </row>
    <row r="67" spans="1:16" s="34" customFormat="1" ht="36.75" customHeight="1" x14ac:dyDescent="0.25">
      <c r="A67" s="17" t="s">
        <v>6</v>
      </c>
      <c r="B67" s="21">
        <f ca="1">H65</f>
        <v>62</v>
      </c>
      <c r="C67" s="17" t="s">
        <v>10</v>
      </c>
      <c r="D67" s="15">
        <f ca="1">OFFSET(INDEX(data!E:E,MATCH(B65,data!E:E,0)),-3,(H65-5)-(B67-1))</f>
        <v>1067.4000000000001</v>
      </c>
      <c r="E67" s="17" t="s">
        <v>13</v>
      </c>
      <c r="F67" s="15">
        <f ca="1">F66-D66</f>
        <v>-2.3230645161288521</v>
      </c>
      <c r="G67" s="42"/>
      <c r="H67" s="37"/>
      <c r="I67" s="2"/>
      <c r="J67" s="32" t="str">
        <f t="shared" ref="J67:L69" ca="1" si="25">J66</f>
        <v>PART02</v>
      </c>
      <c r="K67" s="32" t="str">
        <f t="shared" ca="1" si="25"/>
        <v>Lower Sub-Assembly</v>
      </c>
      <c r="L67" s="34" t="str">
        <f t="shared" si="25"/>
        <v>PART02_01L_Z</v>
      </c>
      <c r="M67" s="34" t="str">
        <f ca="1">M66</f>
        <v>Pos Z</v>
      </c>
      <c r="N67" s="33">
        <f t="shared" ca="1" si="24"/>
        <v>-2.3230645161288521</v>
      </c>
      <c r="O67" s="33">
        <f t="shared" ca="1" si="24"/>
        <v>6.0230710535658298</v>
      </c>
      <c r="P67" s="33">
        <f t="shared" ca="1" si="24"/>
        <v>2.5250753929004301</v>
      </c>
    </row>
    <row r="68" spans="1:16" s="34" customFormat="1" ht="36.75" customHeight="1" x14ac:dyDescent="0.25">
      <c r="A68" s="17" t="s">
        <v>7</v>
      </c>
      <c r="B68" s="13">
        <f ca="1">OFFSET(INDEX(data!E:E,MATCH(B65,data!E:E,0)),-6,(H65-5)-(B67-1))</f>
        <v>46169</v>
      </c>
      <c r="C68" s="17" t="s">
        <v>11</v>
      </c>
      <c r="D68" s="15">
        <f ca="1">OFFSET(INDEX(data!E:E,MATCH(B65,data!E:E,0)),-2,(H65-5)-(B67-1))</f>
        <v>1075.4000000000001</v>
      </c>
      <c r="E68" s="17" t="s">
        <v>14</v>
      </c>
      <c r="F68" s="15">
        <f ca="1">(D68-D67)/(6*_xlfn.STDEV.P(OFFSET(INDEX(data!E:E,MATCH(B65,data!E:E,0)),-1,(H65-5)-(B67-1),1,B67)))</f>
        <v>6.0230710535658298</v>
      </c>
      <c r="G68" s="42"/>
      <c r="H68" s="37"/>
      <c r="I68" s="2"/>
      <c r="J68" s="32" t="str">
        <f t="shared" ca="1" si="25"/>
        <v>PART02</v>
      </c>
      <c r="K68" s="32" t="str">
        <f t="shared" ca="1" si="25"/>
        <v>Lower Sub-Assembly</v>
      </c>
      <c r="L68" s="34" t="str">
        <f t="shared" si="25"/>
        <v>PART02_01L_Z</v>
      </c>
      <c r="M68" s="34" t="str">
        <f ca="1">M67</f>
        <v>Pos Z</v>
      </c>
      <c r="N68" s="33">
        <f t="shared" ca="1" si="24"/>
        <v>-2.3230645161288521</v>
      </c>
      <c r="O68" s="33">
        <f t="shared" ca="1" si="24"/>
        <v>6.0230710535658298</v>
      </c>
      <c r="P68" s="33">
        <f t="shared" ca="1" si="24"/>
        <v>2.5250753929004301</v>
      </c>
    </row>
    <row r="69" spans="1:16" s="34" customFormat="1" ht="36.75" customHeight="1" thickBot="1" x14ac:dyDescent="0.3">
      <c r="A69" s="18" t="s">
        <v>8</v>
      </c>
      <c r="B69" s="14">
        <f ca="1">OFFSET(INDEX(data!E:E,MATCH(B65,data!E:E,0)),-6,H65-5)</f>
        <v>46186</v>
      </c>
      <c r="C69" s="18" t="s">
        <v>17</v>
      </c>
      <c r="D69" s="16">
        <f ca="1">OFFSET(INDEX(data!E:E,MATCH(B65,data!E:E,0)),-1,H65-5)</f>
        <v>1069.0899999999999</v>
      </c>
      <c r="E69" s="18" t="s">
        <v>15</v>
      </c>
      <c r="F69" s="16">
        <f ca="1">MIN((D68-F66)/(3*_xlfn.STDEV.P(OFFSET(INDEX(data!E:E,MATCH(B65,data!E:E,0)),-1,(H65-5)-(B67-1),1,B67))),(F66-D67)/(3*_xlfn.STDEV.P(OFFSET(INDEX(data!E:E,MATCH(B65,data!E:E,0)),-1,(H65-5)-(B67-1),1,B67))))</f>
        <v>2.5250753929004301</v>
      </c>
      <c r="G69" s="43"/>
      <c r="H69" s="38"/>
      <c r="I69" s="2"/>
      <c r="J69" s="32" t="str">
        <f t="shared" ca="1" si="25"/>
        <v>PART02</v>
      </c>
      <c r="K69" s="32" t="str">
        <f t="shared" ca="1" si="25"/>
        <v>Lower Sub-Assembly</v>
      </c>
      <c r="L69" s="34" t="str">
        <f t="shared" si="25"/>
        <v>PART02_01L_Z</v>
      </c>
      <c r="M69" s="34" t="str">
        <f ca="1">M68</f>
        <v>Pos Z</v>
      </c>
      <c r="N69" s="33">
        <f t="shared" ca="1" si="24"/>
        <v>-2.3230645161288521</v>
      </c>
      <c r="O69" s="33">
        <f t="shared" ca="1" si="24"/>
        <v>6.0230710535658298</v>
      </c>
      <c r="P69" s="33">
        <f t="shared" ca="1" si="24"/>
        <v>2.5250753929004301</v>
      </c>
    </row>
    <row r="70" spans="1:16" s="34" customFormat="1" ht="36.75" customHeight="1" thickBot="1" x14ac:dyDescent="0.3">
      <c r="A70" s="29" t="s">
        <v>4</v>
      </c>
      <c r="B70" s="11" t="s">
        <v>62</v>
      </c>
      <c r="C70" s="19" t="s">
        <v>16</v>
      </c>
      <c r="D70" s="39" t="str">
        <f ca="1">OFFSET(INDEX(data!E:E,MATCH(B70,data!E:E,0)),0,1)</f>
        <v>Lower Part Inboard RH Hole - Pos X</v>
      </c>
      <c r="E70" s="39"/>
      <c r="F70" s="39"/>
      <c r="G70" s="40"/>
      <c r="H70" s="36">
        <f ca="1">OFFSET(INDEX(data!E:E,MATCH(B70,data!E:E,0)),0,3)</f>
        <v>62</v>
      </c>
      <c r="I70" s="2"/>
      <c r="J70" s="32" t="str">
        <f ca="1">OFFSET(INDEX(data!E:E,MATCH(B70,data!E:E,0)),0,-2)</f>
        <v>PART02</v>
      </c>
      <c r="K70" s="32" t="str">
        <f ca="1">OFFSET(INDEX(data!E:E,MATCH(B70,data!E:E,0)),0,-1)</f>
        <v>Lower Sub-Assembly</v>
      </c>
      <c r="L70" s="34" t="str">
        <f>B70</f>
        <v>PART02_01R_X</v>
      </c>
      <c r="M70" s="34" t="str">
        <f ca="1">B71</f>
        <v>Pos X</v>
      </c>
      <c r="N70" s="33">
        <f ca="1">F72</f>
        <v>1.3067741935483355</v>
      </c>
      <c r="O70" s="33">
        <f ca="1">F73</f>
        <v>1.7603203252346229</v>
      </c>
      <c r="P70" s="33">
        <f ca="1">F74</f>
        <v>1.1852350318858185</v>
      </c>
    </row>
    <row r="71" spans="1:16" s="34" customFormat="1" ht="36.75" customHeight="1" x14ac:dyDescent="0.25">
      <c r="A71" s="17" t="s">
        <v>5</v>
      </c>
      <c r="B71" s="12" t="str">
        <f ca="1">OFFSET(INDEX(data!E:E,MATCH(B70,data!E:E,0)),0,2)</f>
        <v>Pos X</v>
      </c>
      <c r="C71" s="20" t="s">
        <v>9</v>
      </c>
      <c r="D71" s="22">
        <f ca="1">OFFSET(INDEX(data!E:E,MATCH(B70,data!E:E,0)),-4,(H70-5)-(B72-1))</f>
        <v>420</v>
      </c>
      <c r="E71" s="20" t="s">
        <v>12</v>
      </c>
      <c r="F71" s="22">
        <f ca="1">AVERAGE(OFFSET(INDEX(data!E:E,MATCH(B70,data!E:E,0)),-1,(H70-5)-(B72-1),1,B72))</f>
        <v>421.30677419354834</v>
      </c>
      <c r="G71" s="41"/>
      <c r="H71" s="37"/>
      <c r="I71" s="2"/>
      <c r="J71" s="32" t="str">
        <f ca="1">J70</f>
        <v>PART02</v>
      </c>
      <c r="K71" s="32" t="str">
        <f ca="1">K70</f>
        <v>Lower Sub-Assembly</v>
      </c>
      <c r="L71" s="34" t="str">
        <f>L70</f>
        <v>PART02_01R_X</v>
      </c>
      <c r="M71" s="34" t="str">
        <f ca="1">M70</f>
        <v>Pos X</v>
      </c>
      <c r="N71" s="33">
        <f t="shared" ref="N71:P74" ca="1" si="26">N70</f>
        <v>1.3067741935483355</v>
      </c>
      <c r="O71" s="33">
        <f t="shared" ca="1" si="26"/>
        <v>1.7603203252346229</v>
      </c>
      <c r="P71" s="33">
        <f t="shared" ca="1" si="26"/>
        <v>1.1852350318858185</v>
      </c>
    </row>
    <row r="72" spans="1:16" s="34" customFormat="1" ht="36.75" customHeight="1" x14ac:dyDescent="0.25">
      <c r="A72" s="17" t="s">
        <v>6</v>
      </c>
      <c r="B72" s="21">
        <f ca="1">H70</f>
        <v>62</v>
      </c>
      <c r="C72" s="17" t="s">
        <v>10</v>
      </c>
      <c r="D72" s="15">
        <f ca="1">OFFSET(INDEX(data!E:E,MATCH(B70,data!E:E,0)),-3,(H70-5)-(B72-1))</f>
        <v>416</v>
      </c>
      <c r="E72" s="17" t="s">
        <v>13</v>
      </c>
      <c r="F72" s="15">
        <f ca="1">F71-D71</f>
        <v>1.3067741935483355</v>
      </c>
      <c r="G72" s="42"/>
      <c r="H72" s="37"/>
      <c r="I72" s="2"/>
      <c r="J72" s="32" t="str">
        <f t="shared" ref="J72:L74" ca="1" si="27">J71</f>
        <v>PART02</v>
      </c>
      <c r="K72" s="32" t="str">
        <f t="shared" ca="1" si="27"/>
        <v>Lower Sub-Assembly</v>
      </c>
      <c r="L72" s="34" t="str">
        <f t="shared" si="27"/>
        <v>PART02_01R_X</v>
      </c>
      <c r="M72" s="34" t="str">
        <f ca="1">M71</f>
        <v>Pos X</v>
      </c>
      <c r="N72" s="33">
        <f t="shared" ca="1" si="26"/>
        <v>1.3067741935483355</v>
      </c>
      <c r="O72" s="33">
        <f t="shared" ca="1" si="26"/>
        <v>1.7603203252346229</v>
      </c>
      <c r="P72" s="33">
        <f t="shared" ca="1" si="26"/>
        <v>1.1852350318858185</v>
      </c>
    </row>
    <row r="73" spans="1:16" s="34" customFormat="1" ht="36.75" customHeight="1" x14ac:dyDescent="0.25">
      <c r="A73" s="17" t="s">
        <v>7</v>
      </c>
      <c r="B73" s="13">
        <f ca="1">OFFSET(INDEX(data!E:E,MATCH(B70,data!E:E,0)),-6,(H70-5)-(B72-1))</f>
        <v>46169</v>
      </c>
      <c r="C73" s="17" t="s">
        <v>11</v>
      </c>
      <c r="D73" s="15">
        <f ca="1">OFFSET(INDEX(data!E:E,MATCH(B70,data!E:E,0)),-2,(H70-5)-(B72-1))</f>
        <v>424</v>
      </c>
      <c r="E73" s="17" t="s">
        <v>14</v>
      </c>
      <c r="F73" s="15">
        <f ca="1">(D73-D72)/(6*_xlfn.STDEV.P(OFFSET(INDEX(data!E:E,MATCH(B70,data!E:E,0)),-1,(H70-5)-(B72-1),1,B72)))</f>
        <v>1.7603203252346229</v>
      </c>
      <c r="G73" s="42"/>
      <c r="H73" s="37"/>
      <c r="I73" s="2"/>
      <c r="J73" s="32" t="str">
        <f t="shared" ca="1" si="27"/>
        <v>PART02</v>
      </c>
      <c r="K73" s="32" t="str">
        <f t="shared" ca="1" si="27"/>
        <v>Lower Sub-Assembly</v>
      </c>
      <c r="L73" s="34" t="str">
        <f t="shared" si="27"/>
        <v>PART02_01R_X</v>
      </c>
      <c r="M73" s="34" t="str">
        <f ca="1">M72</f>
        <v>Pos X</v>
      </c>
      <c r="N73" s="33">
        <f t="shared" ca="1" si="26"/>
        <v>1.3067741935483355</v>
      </c>
      <c r="O73" s="33">
        <f t="shared" ca="1" si="26"/>
        <v>1.7603203252346229</v>
      </c>
      <c r="P73" s="33">
        <f t="shared" ca="1" si="26"/>
        <v>1.1852350318858185</v>
      </c>
    </row>
    <row r="74" spans="1:16" s="34" customFormat="1" ht="36.75" customHeight="1" thickBot="1" x14ac:dyDescent="0.3">
      <c r="A74" s="18" t="s">
        <v>8</v>
      </c>
      <c r="B74" s="14">
        <f ca="1">OFFSET(INDEX(data!E:E,MATCH(B70,data!E:E,0)),-6,H70-5)</f>
        <v>46186</v>
      </c>
      <c r="C74" s="18" t="s">
        <v>17</v>
      </c>
      <c r="D74" s="16">
        <f ca="1">OFFSET(INDEX(data!E:E,MATCH(B70,data!E:E,0)),-1,H70-5)</f>
        <v>421.46</v>
      </c>
      <c r="E74" s="18" t="s">
        <v>15</v>
      </c>
      <c r="F74" s="16">
        <f ca="1">MIN((D73-F71)/(3*_xlfn.STDEV.P(OFFSET(INDEX(data!E:E,MATCH(B70,data!E:E,0)),-1,(H70-5)-(B72-1),1,B72))),(F71-D72)/(3*_xlfn.STDEV.P(OFFSET(INDEX(data!E:E,MATCH(B70,data!E:E,0)),-1,(H70-5)-(B72-1),1,B72))))</f>
        <v>1.1852350318858185</v>
      </c>
      <c r="G74" s="43"/>
      <c r="H74" s="38"/>
      <c r="I74" s="2"/>
      <c r="J74" s="32" t="str">
        <f t="shared" ca="1" si="27"/>
        <v>PART02</v>
      </c>
      <c r="K74" s="32" t="str">
        <f t="shared" ca="1" si="27"/>
        <v>Lower Sub-Assembly</v>
      </c>
      <c r="L74" s="34" t="str">
        <f t="shared" si="27"/>
        <v>PART02_01R_X</v>
      </c>
      <c r="M74" s="34" t="str">
        <f ca="1">M73</f>
        <v>Pos X</v>
      </c>
      <c r="N74" s="33">
        <f t="shared" ca="1" si="26"/>
        <v>1.3067741935483355</v>
      </c>
      <c r="O74" s="33">
        <f t="shared" ca="1" si="26"/>
        <v>1.7603203252346229</v>
      </c>
      <c r="P74" s="33">
        <f t="shared" ca="1" si="26"/>
        <v>1.1852350318858185</v>
      </c>
    </row>
    <row r="75" spans="1:16" s="34" customFormat="1" ht="36.75" customHeight="1" thickBot="1" x14ac:dyDescent="0.3">
      <c r="A75" s="29" t="s">
        <v>4</v>
      </c>
      <c r="B75" s="11" t="s">
        <v>64</v>
      </c>
      <c r="C75" s="19" t="s">
        <v>16</v>
      </c>
      <c r="D75" s="39" t="str">
        <f ca="1">OFFSET(INDEX(data!E:E,MATCH(B75,data!E:E,0)),0,1)</f>
        <v>Lower Part Inboard RH Hole - Pos Y</v>
      </c>
      <c r="E75" s="39"/>
      <c r="F75" s="39"/>
      <c r="G75" s="40"/>
      <c r="H75" s="36">
        <f ca="1">OFFSET(INDEX(data!E:E,MATCH(B75,data!E:E,0)),0,3)</f>
        <v>62</v>
      </c>
      <c r="I75" s="2"/>
      <c r="J75" s="32" t="str">
        <f ca="1">OFFSET(INDEX(data!E:E,MATCH(B75,data!E:E,0)),0,-2)</f>
        <v>PART02</v>
      </c>
      <c r="K75" s="32" t="str">
        <f ca="1">OFFSET(INDEX(data!E:E,MATCH(B75,data!E:E,0)),0,-1)</f>
        <v>Lower Sub-Assembly</v>
      </c>
      <c r="L75" s="34" t="str">
        <f>B75</f>
        <v>PART02_01R_Y</v>
      </c>
      <c r="M75" s="34" t="str">
        <f ca="1">B76</f>
        <v>Pos Y</v>
      </c>
      <c r="N75" s="33">
        <f ca="1">F77</f>
        <v>0.16532258064512462</v>
      </c>
      <c r="O75" s="33">
        <f ca="1">F78</f>
        <v>2.8648636394439229</v>
      </c>
      <c r="P75" s="33">
        <f ca="1">F79</f>
        <v>2.7464569769266096</v>
      </c>
    </row>
    <row r="76" spans="1:16" s="34" customFormat="1" ht="36.75" customHeight="1" x14ac:dyDescent="0.25">
      <c r="A76" s="17" t="s">
        <v>5</v>
      </c>
      <c r="B76" s="12" t="str">
        <f ca="1">OFFSET(INDEX(data!E:E,MATCH(B75,data!E:E,0)),0,2)</f>
        <v>Pos Y</v>
      </c>
      <c r="C76" s="20" t="s">
        <v>9</v>
      </c>
      <c r="D76" s="22">
        <f ca="1">OFFSET(INDEX(data!E:E,MATCH(B75,data!E:E,0)),-4,(H75-5)-(B77-1))</f>
        <v>459.6</v>
      </c>
      <c r="E76" s="20" t="s">
        <v>12</v>
      </c>
      <c r="F76" s="22">
        <f ca="1">AVERAGE(OFFSET(INDEX(data!E:E,MATCH(B75,data!E:E,0)),-1,(H75-5)-(B77-1),1,B77))</f>
        <v>459.76532258064515</v>
      </c>
      <c r="G76" s="41"/>
      <c r="H76" s="37"/>
      <c r="I76" s="2"/>
      <c r="J76" s="32" t="str">
        <f ca="1">J75</f>
        <v>PART02</v>
      </c>
      <c r="K76" s="32" t="str">
        <f ca="1">K75</f>
        <v>Lower Sub-Assembly</v>
      </c>
      <c r="L76" s="34" t="str">
        <f>L75</f>
        <v>PART02_01R_Y</v>
      </c>
      <c r="M76" s="34" t="str">
        <f ca="1">M75</f>
        <v>Pos Y</v>
      </c>
      <c r="N76" s="33">
        <f t="shared" ref="N76:P79" ca="1" si="28">N75</f>
        <v>0.16532258064512462</v>
      </c>
      <c r="O76" s="33">
        <f t="shared" ca="1" si="28"/>
        <v>2.8648636394439229</v>
      </c>
      <c r="P76" s="33">
        <f t="shared" ca="1" si="28"/>
        <v>2.7464569769266096</v>
      </c>
    </row>
    <row r="77" spans="1:16" s="34" customFormat="1" ht="36.75" customHeight="1" x14ac:dyDescent="0.25">
      <c r="A77" s="17" t="s">
        <v>6</v>
      </c>
      <c r="B77" s="21">
        <f ca="1">H75</f>
        <v>62</v>
      </c>
      <c r="C77" s="17" t="s">
        <v>10</v>
      </c>
      <c r="D77" s="15">
        <f ca="1">OFFSET(INDEX(data!E:E,MATCH(B75,data!E:E,0)),-3,(H75-5)-(B77-1))</f>
        <v>455.6</v>
      </c>
      <c r="E77" s="17" t="s">
        <v>13</v>
      </c>
      <c r="F77" s="15">
        <f ca="1">F76-D76</f>
        <v>0.16532258064512462</v>
      </c>
      <c r="G77" s="42"/>
      <c r="H77" s="37"/>
      <c r="I77" s="2"/>
      <c r="J77" s="32" t="str">
        <f t="shared" ref="J77:L79" ca="1" si="29">J76</f>
        <v>PART02</v>
      </c>
      <c r="K77" s="32" t="str">
        <f t="shared" ca="1" si="29"/>
        <v>Lower Sub-Assembly</v>
      </c>
      <c r="L77" s="34" t="str">
        <f t="shared" si="29"/>
        <v>PART02_01R_Y</v>
      </c>
      <c r="M77" s="34" t="str">
        <f ca="1">M76</f>
        <v>Pos Y</v>
      </c>
      <c r="N77" s="33">
        <f t="shared" ca="1" si="28"/>
        <v>0.16532258064512462</v>
      </c>
      <c r="O77" s="33">
        <f t="shared" ca="1" si="28"/>
        <v>2.8648636394439229</v>
      </c>
      <c r="P77" s="33">
        <f t="shared" ca="1" si="28"/>
        <v>2.7464569769266096</v>
      </c>
    </row>
    <row r="78" spans="1:16" s="34" customFormat="1" ht="36.75" customHeight="1" x14ac:dyDescent="0.25">
      <c r="A78" s="17" t="s">
        <v>7</v>
      </c>
      <c r="B78" s="13">
        <f ca="1">OFFSET(INDEX(data!E:E,MATCH(B75,data!E:E,0)),-6,(H75-5)-(B77-1))</f>
        <v>46169</v>
      </c>
      <c r="C78" s="17" t="s">
        <v>11</v>
      </c>
      <c r="D78" s="15">
        <f ca="1">OFFSET(INDEX(data!E:E,MATCH(B75,data!E:E,0)),-2,(H75-5)-(B77-1))</f>
        <v>463.6</v>
      </c>
      <c r="E78" s="17" t="s">
        <v>14</v>
      </c>
      <c r="F78" s="15">
        <f ca="1">(D78-D77)/(6*_xlfn.STDEV.P(OFFSET(INDEX(data!E:E,MATCH(B75,data!E:E,0)),-1,(H75-5)-(B77-1),1,B77)))</f>
        <v>2.8648636394439229</v>
      </c>
      <c r="G78" s="42"/>
      <c r="H78" s="37"/>
      <c r="I78" s="2"/>
      <c r="J78" s="32" t="str">
        <f t="shared" ca="1" si="29"/>
        <v>PART02</v>
      </c>
      <c r="K78" s="32" t="str">
        <f t="shared" ca="1" si="29"/>
        <v>Lower Sub-Assembly</v>
      </c>
      <c r="L78" s="34" t="str">
        <f t="shared" si="29"/>
        <v>PART02_01R_Y</v>
      </c>
      <c r="M78" s="34" t="str">
        <f ca="1">M77</f>
        <v>Pos Y</v>
      </c>
      <c r="N78" s="33">
        <f t="shared" ca="1" si="28"/>
        <v>0.16532258064512462</v>
      </c>
      <c r="O78" s="33">
        <f t="shared" ca="1" si="28"/>
        <v>2.8648636394439229</v>
      </c>
      <c r="P78" s="33">
        <f t="shared" ca="1" si="28"/>
        <v>2.7464569769266096</v>
      </c>
    </row>
    <row r="79" spans="1:16" s="34" customFormat="1" ht="36.75" customHeight="1" thickBot="1" x14ac:dyDescent="0.3">
      <c r="A79" s="18" t="s">
        <v>8</v>
      </c>
      <c r="B79" s="14">
        <f ca="1">OFFSET(INDEX(data!E:E,MATCH(B75,data!E:E,0)),-6,H75-5)</f>
        <v>46186</v>
      </c>
      <c r="C79" s="18" t="s">
        <v>17</v>
      </c>
      <c r="D79" s="16">
        <f ca="1">OFFSET(INDEX(data!E:E,MATCH(B75,data!E:E,0)),-1,H75-5)</f>
        <v>459.19</v>
      </c>
      <c r="E79" s="18" t="s">
        <v>15</v>
      </c>
      <c r="F79" s="16">
        <f ca="1">MIN((D78-F76)/(3*_xlfn.STDEV.P(OFFSET(INDEX(data!E:E,MATCH(B75,data!E:E,0)),-1,(H75-5)-(B77-1),1,B77))),(F76-D77)/(3*_xlfn.STDEV.P(OFFSET(INDEX(data!E:E,MATCH(B75,data!E:E,0)),-1,(H75-5)-(B77-1),1,B77))))</f>
        <v>2.7464569769266096</v>
      </c>
      <c r="G79" s="43"/>
      <c r="H79" s="38"/>
      <c r="I79" s="2"/>
      <c r="J79" s="32" t="str">
        <f t="shared" ca="1" si="29"/>
        <v>PART02</v>
      </c>
      <c r="K79" s="32" t="str">
        <f t="shared" ca="1" si="29"/>
        <v>Lower Sub-Assembly</v>
      </c>
      <c r="L79" s="34" t="str">
        <f t="shared" si="29"/>
        <v>PART02_01R_Y</v>
      </c>
      <c r="M79" s="34" t="str">
        <f ca="1">M78</f>
        <v>Pos Y</v>
      </c>
      <c r="N79" s="33">
        <f t="shared" ca="1" si="28"/>
        <v>0.16532258064512462</v>
      </c>
      <c r="O79" s="33">
        <f t="shared" ca="1" si="28"/>
        <v>2.8648636394439229</v>
      </c>
      <c r="P79" s="33">
        <f t="shared" ca="1" si="28"/>
        <v>2.7464569769266096</v>
      </c>
    </row>
    <row r="80" spans="1:16" s="34" customFormat="1" ht="36.75" customHeight="1" thickBot="1" x14ac:dyDescent="0.3">
      <c r="A80" s="29" t="s">
        <v>4</v>
      </c>
      <c r="B80" s="11" t="s">
        <v>66</v>
      </c>
      <c r="C80" s="19" t="s">
        <v>16</v>
      </c>
      <c r="D80" s="39" t="str">
        <f ca="1">OFFSET(INDEX(data!E:E,MATCH(B80,data!E:E,0)),0,1)</f>
        <v>Lower Part Inboard RH Hole - Pos Z</v>
      </c>
      <c r="E80" s="39"/>
      <c r="F80" s="39"/>
      <c r="G80" s="40"/>
      <c r="H80" s="36">
        <f ca="1">OFFSET(INDEX(data!E:E,MATCH(B80,data!E:E,0)),0,3)</f>
        <v>62</v>
      </c>
      <c r="I80" s="2"/>
      <c r="J80" s="32" t="str">
        <f ca="1">OFFSET(INDEX(data!E:E,MATCH(B80,data!E:E,0)),0,-2)</f>
        <v>PART02</v>
      </c>
      <c r="K80" s="32" t="str">
        <f ca="1">OFFSET(INDEX(data!E:E,MATCH(B80,data!E:E,0)),0,-1)</f>
        <v>Lower Sub-Assembly</v>
      </c>
      <c r="L80" s="34" t="str">
        <f>B80</f>
        <v>PART02_01R_Z</v>
      </c>
      <c r="M80" s="34" t="str">
        <f ca="1">B81</f>
        <v>Pos Z</v>
      </c>
      <c r="N80" s="33">
        <f ca="1">F82</f>
        <v>-0.9635483870963526</v>
      </c>
      <c r="O80" s="33">
        <f ca="1">F83</f>
        <v>3.5440161533297885</v>
      </c>
      <c r="P80" s="33">
        <f ca="1">F84</f>
        <v>2.690308391233704</v>
      </c>
    </row>
    <row r="81" spans="1:16" s="34" customFormat="1" ht="36.75" customHeight="1" x14ac:dyDescent="0.25">
      <c r="A81" s="17" t="s">
        <v>5</v>
      </c>
      <c r="B81" s="12" t="str">
        <f ca="1">OFFSET(INDEX(data!E:E,MATCH(B80,data!E:E,0)),0,2)</f>
        <v>Pos Z</v>
      </c>
      <c r="C81" s="20" t="s">
        <v>9</v>
      </c>
      <c r="D81" s="22">
        <f ca="1">OFFSET(INDEX(data!E:E,MATCH(B80,data!E:E,0)),-4,(H80-5)-(B82-1))</f>
        <v>1071.4000000000001</v>
      </c>
      <c r="E81" s="20" t="s">
        <v>12</v>
      </c>
      <c r="F81" s="22">
        <f ca="1">AVERAGE(OFFSET(INDEX(data!E:E,MATCH(B80,data!E:E,0)),-1,(H80-5)-(B82-1),1,B82))</f>
        <v>1070.4364516129037</v>
      </c>
      <c r="G81" s="41"/>
      <c r="H81" s="37"/>
      <c r="I81" s="2"/>
      <c r="J81" s="32" t="str">
        <f ca="1">J80</f>
        <v>PART02</v>
      </c>
      <c r="K81" s="32" t="str">
        <f ca="1">K80</f>
        <v>Lower Sub-Assembly</v>
      </c>
      <c r="L81" s="34" t="str">
        <f>L80</f>
        <v>PART02_01R_Z</v>
      </c>
      <c r="M81" s="34" t="str">
        <f ca="1">M80</f>
        <v>Pos Z</v>
      </c>
      <c r="N81" s="33">
        <f t="shared" ref="N81:P84" ca="1" si="30">N80</f>
        <v>-0.9635483870963526</v>
      </c>
      <c r="O81" s="33">
        <f t="shared" ca="1" si="30"/>
        <v>3.5440161533297885</v>
      </c>
      <c r="P81" s="33">
        <f t="shared" ca="1" si="30"/>
        <v>2.690308391233704</v>
      </c>
    </row>
    <row r="82" spans="1:16" s="34" customFormat="1" ht="36.75" customHeight="1" x14ac:dyDescent="0.25">
      <c r="A82" s="17" t="s">
        <v>6</v>
      </c>
      <c r="B82" s="21">
        <f ca="1">H80</f>
        <v>62</v>
      </c>
      <c r="C82" s="17" t="s">
        <v>10</v>
      </c>
      <c r="D82" s="15">
        <f ca="1">OFFSET(INDEX(data!E:E,MATCH(B80,data!E:E,0)),-3,(H80-5)-(B82-1))</f>
        <v>1067.4000000000001</v>
      </c>
      <c r="E82" s="17" t="s">
        <v>13</v>
      </c>
      <c r="F82" s="15">
        <f ca="1">F81-D81</f>
        <v>-0.9635483870963526</v>
      </c>
      <c r="G82" s="42"/>
      <c r="H82" s="37"/>
      <c r="I82" s="2"/>
      <c r="J82" s="32" t="str">
        <f t="shared" ref="J82:L84" ca="1" si="31">J81</f>
        <v>PART02</v>
      </c>
      <c r="K82" s="32" t="str">
        <f t="shared" ca="1" si="31"/>
        <v>Lower Sub-Assembly</v>
      </c>
      <c r="L82" s="34" t="str">
        <f t="shared" si="31"/>
        <v>PART02_01R_Z</v>
      </c>
      <c r="M82" s="34" t="str">
        <f ca="1">M81</f>
        <v>Pos Z</v>
      </c>
      <c r="N82" s="33">
        <f t="shared" ca="1" si="30"/>
        <v>-0.9635483870963526</v>
      </c>
      <c r="O82" s="33">
        <f t="shared" ca="1" si="30"/>
        <v>3.5440161533297885</v>
      </c>
      <c r="P82" s="33">
        <f t="shared" ca="1" si="30"/>
        <v>2.690308391233704</v>
      </c>
    </row>
    <row r="83" spans="1:16" s="34" customFormat="1" ht="36.75" customHeight="1" x14ac:dyDescent="0.25">
      <c r="A83" s="17" t="s">
        <v>7</v>
      </c>
      <c r="B83" s="13">
        <f ca="1">OFFSET(INDEX(data!E:E,MATCH(B80,data!E:E,0)),-6,(H80-5)-(B82-1))</f>
        <v>46169</v>
      </c>
      <c r="C83" s="17" t="s">
        <v>11</v>
      </c>
      <c r="D83" s="15">
        <f ca="1">OFFSET(INDEX(data!E:E,MATCH(B80,data!E:E,0)),-2,(H80-5)-(B82-1))</f>
        <v>1075.4000000000001</v>
      </c>
      <c r="E83" s="17" t="s">
        <v>14</v>
      </c>
      <c r="F83" s="15">
        <f ca="1">(D83-D82)/(6*_xlfn.STDEV.P(OFFSET(INDEX(data!E:E,MATCH(B80,data!E:E,0)),-1,(H80-5)-(B82-1),1,B82)))</f>
        <v>3.5440161533297885</v>
      </c>
      <c r="G83" s="42"/>
      <c r="H83" s="37"/>
      <c r="I83" s="2"/>
      <c r="J83" s="32" t="str">
        <f t="shared" ca="1" si="31"/>
        <v>PART02</v>
      </c>
      <c r="K83" s="32" t="str">
        <f t="shared" ca="1" si="31"/>
        <v>Lower Sub-Assembly</v>
      </c>
      <c r="L83" s="34" t="str">
        <f t="shared" si="31"/>
        <v>PART02_01R_Z</v>
      </c>
      <c r="M83" s="34" t="str">
        <f ca="1">M82</f>
        <v>Pos Z</v>
      </c>
      <c r="N83" s="33">
        <f t="shared" ca="1" si="30"/>
        <v>-0.9635483870963526</v>
      </c>
      <c r="O83" s="33">
        <f t="shared" ca="1" si="30"/>
        <v>3.5440161533297885</v>
      </c>
      <c r="P83" s="33">
        <f t="shared" ca="1" si="30"/>
        <v>2.690308391233704</v>
      </c>
    </row>
    <row r="84" spans="1:16" s="34" customFormat="1" ht="36.75" customHeight="1" thickBot="1" x14ac:dyDescent="0.3">
      <c r="A84" s="18" t="s">
        <v>8</v>
      </c>
      <c r="B84" s="14">
        <f ca="1">OFFSET(INDEX(data!E:E,MATCH(B80,data!E:E,0)),-6,H80-5)</f>
        <v>46186</v>
      </c>
      <c r="C84" s="18" t="s">
        <v>17</v>
      </c>
      <c r="D84" s="16">
        <f ca="1">OFFSET(INDEX(data!E:E,MATCH(B80,data!E:E,0)),-1,H80-5)</f>
        <v>1070.49</v>
      </c>
      <c r="E84" s="18" t="s">
        <v>15</v>
      </c>
      <c r="F84" s="16">
        <f ca="1">MIN((D83-F81)/(3*_xlfn.STDEV.P(OFFSET(INDEX(data!E:E,MATCH(B80,data!E:E,0)),-1,(H80-5)-(B82-1),1,B82))),(F81-D82)/(3*_xlfn.STDEV.P(OFFSET(INDEX(data!E:E,MATCH(B80,data!E:E,0)),-1,(H80-5)-(B82-1),1,B82))))</f>
        <v>2.690308391233704</v>
      </c>
      <c r="G84" s="43"/>
      <c r="H84" s="38"/>
      <c r="I84" s="2"/>
      <c r="J84" s="32" t="str">
        <f t="shared" ca="1" si="31"/>
        <v>PART02</v>
      </c>
      <c r="K84" s="32" t="str">
        <f t="shared" ca="1" si="31"/>
        <v>Lower Sub-Assembly</v>
      </c>
      <c r="L84" s="34" t="str">
        <f t="shared" si="31"/>
        <v>PART02_01R_Z</v>
      </c>
      <c r="M84" s="34" t="str">
        <f ca="1">M83</f>
        <v>Pos Z</v>
      </c>
      <c r="N84" s="33">
        <f t="shared" ca="1" si="30"/>
        <v>-0.9635483870963526</v>
      </c>
      <c r="O84" s="33">
        <f t="shared" ca="1" si="30"/>
        <v>3.5440161533297885</v>
      </c>
      <c r="P84" s="33">
        <f t="shared" ca="1" si="30"/>
        <v>2.690308391233704</v>
      </c>
    </row>
    <row r="85" spans="1:16" s="34" customFormat="1" ht="36.75" customHeight="1" thickBot="1" x14ac:dyDescent="0.3">
      <c r="A85" s="29" t="s">
        <v>4</v>
      </c>
      <c r="B85" s="11" t="s">
        <v>68</v>
      </c>
      <c r="C85" s="19" t="s">
        <v>16</v>
      </c>
      <c r="D85" s="39" t="str">
        <f ca="1">OFFSET(INDEX(data!E:E,MATCH(B85,data!E:E,0)),0,1)</f>
        <v>Lower Part Outboard Hole - Pos X</v>
      </c>
      <c r="E85" s="39"/>
      <c r="F85" s="39"/>
      <c r="G85" s="40"/>
      <c r="H85" s="36">
        <f ca="1">OFFSET(INDEX(data!E:E,MATCH(B85,data!E:E,0)),0,3)</f>
        <v>62</v>
      </c>
      <c r="I85" s="2"/>
      <c r="J85" s="32" t="str">
        <f ca="1">OFFSET(INDEX(data!E:E,MATCH(B85,data!E:E,0)),0,-2)</f>
        <v>PART02</v>
      </c>
      <c r="K85" s="32" t="str">
        <f ca="1">OFFSET(INDEX(data!E:E,MATCH(B85,data!E:E,0)),0,-1)</f>
        <v>Lower Sub-Assembly</v>
      </c>
      <c r="L85" s="34" t="str">
        <f>B85</f>
        <v>PART02_02R_X</v>
      </c>
      <c r="M85" s="34" t="str">
        <f ca="1">B86</f>
        <v>Pos X</v>
      </c>
      <c r="N85" s="33">
        <f ca="1">F87</f>
        <v>-0.49951612903259957</v>
      </c>
      <c r="O85" s="33">
        <f ca="1">F88</f>
        <v>4.8265390618677309</v>
      </c>
      <c r="P85" s="33">
        <f ca="1">F89</f>
        <v>4.2238055346655301</v>
      </c>
    </row>
    <row r="86" spans="1:16" s="34" customFormat="1" ht="36.75" customHeight="1" x14ac:dyDescent="0.25">
      <c r="A86" s="17" t="s">
        <v>5</v>
      </c>
      <c r="B86" s="12" t="str">
        <f ca="1">OFFSET(INDEX(data!E:E,MATCH(B85,data!E:E,0)),0,2)</f>
        <v>Pos X</v>
      </c>
      <c r="C86" s="20" t="s">
        <v>9</v>
      </c>
      <c r="D86" s="22">
        <f ca="1">OFFSET(INDEX(data!E:E,MATCH(B85,data!E:E,0)),-4,(H85-5)-(B87-1))</f>
        <v>1527.1</v>
      </c>
      <c r="E86" s="20" t="s">
        <v>12</v>
      </c>
      <c r="F86" s="22">
        <f ca="1">AVERAGE(OFFSET(INDEX(data!E:E,MATCH(B85,data!E:E,0)),-1,(H85-5)-(B87-1),1,B87))</f>
        <v>1526.6004838709673</v>
      </c>
      <c r="G86" s="41"/>
      <c r="H86" s="37"/>
      <c r="I86" s="2"/>
      <c r="J86" s="32" t="str">
        <f ca="1">J85</f>
        <v>PART02</v>
      </c>
      <c r="K86" s="32" t="str">
        <f ca="1">K85</f>
        <v>Lower Sub-Assembly</v>
      </c>
      <c r="L86" s="34" t="str">
        <f>L85</f>
        <v>PART02_02R_X</v>
      </c>
      <c r="M86" s="34" t="str">
        <f ca="1">M85</f>
        <v>Pos X</v>
      </c>
      <c r="N86" s="33">
        <f t="shared" ref="N86:P89" ca="1" si="32">N85</f>
        <v>-0.49951612903259957</v>
      </c>
      <c r="O86" s="33">
        <f t="shared" ca="1" si="32"/>
        <v>4.8265390618677309</v>
      </c>
      <c r="P86" s="33">
        <f t="shared" ca="1" si="32"/>
        <v>4.2238055346655301</v>
      </c>
    </row>
    <row r="87" spans="1:16" s="34" customFormat="1" ht="36.75" customHeight="1" x14ac:dyDescent="0.25">
      <c r="A87" s="17" t="s">
        <v>6</v>
      </c>
      <c r="B87" s="21">
        <f ca="1">H85</f>
        <v>62</v>
      </c>
      <c r="C87" s="17" t="s">
        <v>10</v>
      </c>
      <c r="D87" s="15">
        <f ca="1">OFFSET(INDEX(data!E:E,MATCH(B85,data!E:E,0)),-3,(H85-5)-(B87-1))</f>
        <v>1523.1</v>
      </c>
      <c r="E87" s="17" t="s">
        <v>13</v>
      </c>
      <c r="F87" s="15">
        <f ca="1">F86-D86</f>
        <v>-0.49951612903259957</v>
      </c>
      <c r="G87" s="42"/>
      <c r="H87" s="37"/>
      <c r="I87" s="2"/>
      <c r="J87" s="32" t="str">
        <f t="shared" ref="J87:L89" ca="1" si="33">J86</f>
        <v>PART02</v>
      </c>
      <c r="K87" s="32" t="str">
        <f t="shared" ca="1" si="33"/>
        <v>Lower Sub-Assembly</v>
      </c>
      <c r="L87" s="34" t="str">
        <f t="shared" si="33"/>
        <v>PART02_02R_X</v>
      </c>
      <c r="M87" s="34" t="str">
        <f ca="1">M86</f>
        <v>Pos X</v>
      </c>
      <c r="N87" s="33">
        <f t="shared" ca="1" si="32"/>
        <v>-0.49951612903259957</v>
      </c>
      <c r="O87" s="33">
        <f t="shared" ca="1" si="32"/>
        <v>4.8265390618677309</v>
      </c>
      <c r="P87" s="33">
        <f t="shared" ca="1" si="32"/>
        <v>4.2238055346655301</v>
      </c>
    </row>
    <row r="88" spans="1:16" s="34" customFormat="1" ht="36.75" customHeight="1" x14ac:dyDescent="0.25">
      <c r="A88" s="17" t="s">
        <v>7</v>
      </c>
      <c r="B88" s="13">
        <f ca="1">OFFSET(INDEX(data!E:E,MATCH(B85,data!E:E,0)),-6,(H85-5)-(B87-1))</f>
        <v>46169</v>
      </c>
      <c r="C88" s="17" t="s">
        <v>11</v>
      </c>
      <c r="D88" s="15">
        <f ca="1">OFFSET(INDEX(data!E:E,MATCH(B85,data!E:E,0)),-2,(H85-5)-(B87-1))</f>
        <v>1531.1</v>
      </c>
      <c r="E88" s="17" t="s">
        <v>14</v>
      </c>
      <c r="F88" s="15">
        <f ca="1">(D88-D87)/(6*_xlfn.STDEV.P(OFFSET(INDEX(data!E:E,MATCH(B85,data!E:E,0)),-1,(H85-5)-(B87-1),1,B87)))</f>
        <v>4.8265390618677309</v>
      </c>
      <c r="G88" s="42"/>
      <c r="H88" s="37"/>
      <c r="I88" s="2"/>
      <c r="J88" s="32" t="str">
        <f t="shared" ca="1" si="33"/>
        <v>PART02</v>
      </c>
      <c r="K88" s="32" t="str">
        <f t="shared" ca="1" si="33"/>
        <v>Lower Sub-Assembly</v>
      </c>
      <c r="L88" s="34" t="str">
        <f t="shared" si="33"/>
        <v>PART02_02R_X</v>
      </c>
      <c r="M88" s="34" t="str">
        <f ca="1">M87</f>
        <v>Pos X</v>
      </c>
      <c r="N88" s="33">
        <f t="shared" ca="1" si="32"/>
        <v>-0.49951612903259957</v>
      </c>
      <c r="O88" s="33">
        <f t="shared" ca="1" si="32"/>
        <v>4.8265390618677309</v>
      </c>
      <c r="P88" s="33">
        <f t="shared" ca="1" si="32"/>
        <v>4.2238055346655301</v>
      </c>
    </row>
    <row r="89" spans="1:16" s="34" customFormat="1" ht="36.75" customHeight="1" thickBot="1" x14ac:dyDescent="0.3">
      <c r="A89" s="18" t="s">
        <v>8</v>
      </c>
      <c r="B89" s="14">
        <f ca="1">OFFSET(INDEX(data!E:E,MATCH(B85,data!E:E,0)),-6,H85-5)</f>
        <v>46186</v>
      </c>
      <c r="C89" s="18" t="s">
        <v>17</v>
      </c>
      <c r="D89" s="16">
        <f ca="1">OFFSET(INDEX(data!E:E,MATCH(B85,data!E:E,0)),-1,H85-5)</f>
        <v>1526.58</v>
      </c>
      <c r="E89" s="18" t="s">
        <v>15</v>
      </c>
      <c r="F89" s="16">
        <f ca="1">MIN((D88-F86)/(3*_xlfn.STDEV.P(OFFSET(INDEX(data!E:E,MATCH(B85,data!E:E,0)),-1,(H85-5)-(B87-1),1,B87))),(F86-D87)/(3*_xlfn.STDEV.P(OFFSET(INDEX(data!E:E,MATCH(B85,data!E:E,0)),-1,(H85-5)-(B87-1),1,B87))))</f>
        <v>4.2238055346655301</v>
      </c>
      <c r="G89" s="43"/>
      <c r="H89" s="38"/>
      <c r="I89" s="2"/>
      <c r="J89" s="32" t="str">
        <f t="shared" ca="1" si="33"/>
        <v>PART02</v>
      </c>
      <c r="K89" s="32" t="str">
        <f t="shared" ca="1" si="33"/>
        <v>Lower Sub-Assembly</v>
      </c>
      <c r="L89" s="34" t="str">
        <f t="shared" si="33"/>
        <v>PART02_02R_X</v>
      </c>
      <c r="M89" s="34" t="str">
        <f ca="1">M88</f>
        <v>Pos X</v>
      </c>
      <c r="N89" s="33">
        <f t="shared" ca="1" si="32"/>
        <v>-0.49951612903259957</v>
      </c>
      <c r="O89" s="33">
        <f t="shared" ca="1" si="32"/>
        <v>4.8265390618677309</v>
      </c>
      <c r="P89" s="33">
        <f t="shared" ca="1" si="32"/>
        <v>4.2238055346655301</v>
      </c>
    </row>
    <row r="90" spans="1:16" s="34" customFormat="1" ht="36.75" customHeight="1" thickBot="1" x14ac:dyDescent="0.3">
      <c r="A90" s="29" t="s">
        <v>4</v>
      </c>
      <c r="B90" s="11" t="s">
        <v>70</v>
      </c>
      <c r="C90" s="19" t="s">
        <v>16</v>
      </c>
      <c r="D90" s="39" t="str">
        <f ca="1">OFFSET(INDEX(data!E:E,MATCH(B90,data!E:E,0)),0,1)</f>
        <v>Lower Part Outboard Hole - Pos Y</v>
      </c>
      <c r="E90" s="39"/>
      <c r="F90" s="39"/>
      <c r="G90" s="40"/>
      <c r="H90" s="36">
        <f ca="1">OFFSET(INDEX(data!E:E,MATCH(B90,data!E:E,0)),0,3)</f>
        <v>62</v>
      </c>
      <c r="I90" s="2"/>
      <c r="J90" s="32" t="str">
        <f ca="1">OFFSET(INDEX(data!E:E,MATCH(B90,data!E:E,0)),0,-2)</f>
        <v>PART02</v>
      </c>
      <c r="K90" s="32" t="str">
        <f ca="1">OFFSET(INDEX(data!E:E,MATCH(B90,data!E:E,0)),0,-1)</f>
        <v>Lower Sub-Assembly</v>
      </c>
      <c r="L90" s="34" t="str">
        <f>B90</f>
        <v>PART02_02R_Y</v>
      </c>
      <c r="M90" s="34" t="str">
        <f ca="1">B91</f>
        <v>Pos Y</v>
      </c>
      <c r="N90" s="33">
        <f ca="1">F92</f>
        <v>-0.67741935483854832</v>
      </c>
      <c r="O90" s="33">
        <f ca="1">F93</f>
        <v>1.5900045741915207</v>
      </c>
      <c r="P90" s="33">
        <f ca="1">F94</f>
        <v>1.3207296059817306</v>
      </c>
    </row>
    <row r="91" spans="1:16" s="34" customFormat="1" ht="36.75" customHeight="1" x14ac:dyDescent="0.25">
      <c r="A91" s="17" t="s">
        <v>5</v>
      </c>
      <c r="B91" s="12" t="str">
        <f ca="1">OFFSET(INDEX(data!E:E,MATCH(B90,data!E:E,0)),0,2)</f>
        <v>Pos Y</v>
      </c>
      <c r="C91" s="20" t="s">
        <v>9</v>
      </c>
      <c r="D91" s="22">
        <f ca="1">OFFSET(INDEX(data!E:E,MATCH(B90,data!E:E,0)),-4,(H90-5)-(B92-1))</f>
        <v>620.4</v>
      </c>
      <c r="E91" s="20" t="s">
        <v>12</v>
      </c>
      <c r="F91" s="22">
        <f ca="1">AVERAGE(OFFSET(INDEX(data!E:E,MATCH(B90,data!E:E,0)),-1,(H90-5)-(B92-1),1,B92))</f>
        <v>619.72258064516143</v>
      </c>
      <c r="G91" s="41"/>
      <c r="H91" s="37"/>
      <c r="I91" s="2"/>
      <c r="J91" s="32" t="str">
        <f ca="1">J90</f>
        <v>PART02</v>
      </c>
      <c r="K91" s="32" t="str">
        <f ca="1">K90</f>
        <v>Lower Sub-Assembly</v>
      </c>
      <c r="L91" s="34" t="str">
        <f>L90</f>
        <v>PART02_02R_Y</v>
      </c>
      <c r="M91" s="34" t="str">
        <f ca="1">M90</f>
        <v>Pos Y</v>
      </c>
      <c r="N91" s="33">
        <f t="shared" ref="N91:P94" ca="1" si="34">N90</f>
        <v>-0.67741935483854832</v>
      </c>
      <c r="O91" s="33">
        <f t="shared" ca="1" si="34"/>
        <v>1.5900045741915207</v>
      </c>
      <c r="P91" s="33">
        <f t="shared" ca="1" si="34"/>
        <v>1.3207296059817306</v>
      </c>
    </row>
    <row r="92" spans="1:16" s="34" customFormat="1" ht="36.75" customHeight="1" x14ac:dyDescent="0.25">
      <c r="A92" s="17" t="s">
        <v>6</v>
      </c>
      <c r="B92" s="21">
        <f ca="1">H90</f>
        <v>62</v>
      </c>
      <c r="C92" s="17" t="s">
        <v>10</v>
      </c>
      <c r="D92" s="15">
        <f ca="1">OFFSET(INDEX(data!E:E,MATCH(B90,data!E:E,0)),-3,(H90-5)-(B92-1))</f>
        <v>616.4</v>
      </c>
      <c r="E92" s="17" t="s">
        <v>13</v>
      </c>
      <c r="F92" s="15">
        <f ca="1">F91-D91</f>
        <v>-0.67741935483854832</v>
      </c>
      <c r="G92" s="42"/>
      <c r="H92" s="37"/>
      <c r="I92" s="2"/>
      <c r="J92" s="32" t="str">
        <f t="shared" ref="J92:L94" ca="1" si="35">J91</f>
        <v>PART02</v>
      </c>
      <c r="K92" s="32" t="str">
        <f t="shared" ca="1" si="35"/>
        <v>Lower Sub-Assembly</v>
      </c>
      <c r="L92" s="34" t="str">
        <f t="shared" si="35"/>
        <v>PART02_02R_Y</v>
      </c>
      <c r="M92" s="34" t="str">
        <f ca="1">M91</f>
        <v>Pos Y</v>
      </c>
      <c r="N92" s="33">
        <f t="shared" ca="1" si="34"/>
        <v>-0.67741935483854832</v>
      </c>
      <c r="O92" s="33">
        <f t="shared" ca="1" si="34"/>
        <v>1.5900045741915207</v>
      </c>
      <c r="P92" s="33">
        <f t="shared" ca="1" si="34"/>
        <v>1.3207296059817306</v>
      </c>
    </row>
    <row r="93" spans="1:16" s="34" customFormat="1" ht="36.75" customHeight="1" x14ac:dyDescent="0.25">
      <c r="A93" s="17" t="s">
        <v>7</v>
      </c>
      <c r="B93" s="13">
        <f ca="1">OFFSET(INDEX(data!E:E,MATCH(B90,data!E:E,0)),-6,(H90-5)-(B92-1))</f>
        <v>46169</v>
      </c>
      <c r="C93" s="17" t="s">
        <v>11</v>
      </c>
      <c r="D93" s="15">
        <f ca="1">OFFSET(INDEX(data!E:E,MATCH(B90,data!E:E,0)),-2,(H90-5)-(B92-1))</f>
        <v>624.4</v>
      </c>
      <c r="E93" s="17" t="s">
        <v>14</v>
      </c>
      <c r="F93" s="15">
        <f ca="1">(D93-D92)/(6*_xlfn.STDEV.P(OFFSET(INDEX(data!E:E,MATCH(B90,data!E:E,0)),-1,(H90-5)-(B92-1),1,B92)))</f>
        <v>1.5900045741915207</v>
      </c>
      <c r="G93" s="42"/>
      <c r="H93" s="37"/>
      <c r="I93" s="2"/>
      <c r="J93" s="32" t="str">
        <f t="shared" ca="1" si="35"/>
        <v>PART02</v>
      </c>
      <c r="K93" s="32" t="str">
        <f t="shared" ca="1" si="35"/>
        <v>Lower Sub-Assembly</v>
      </c>
      <c r="L93" s="34" t="str">
        <f t="shared" si="35"/>
        <v>PART02_02R_Y</v>
      </c>
      <c r="M93" s="34" t="str">
        <f ca="1">M92</f>
        <v>Pos Y</v>
      </c>
      <c r="N93" s="33">
        <f t="shared" ca="1" si="34"/>
        <v>-0.67741935483854832</v>
      </c>
      <c r="O93" s="33">
        <f t="shared" ca="1" si="34"/>
        <v>1.5900045741915207</v>
      </c>
      <c r="P93" s="33">
        <f t="shared" ca="1" si="34"/>
        <v>1.3207296059817306</v>
      </c>
    </row>
    <row r="94" spans="1:16" s="34" customFormat="1" ht="36.75" customHeight="1" thickBot="1" x14ac:dyDescent="0.3">
      <c r="A94" s="18" t="s">
        <v>8</v>
      </c>
      <c r="B94" s="14">
        <f ca="1">OFFSET(INDEX(data!E:E,MATCH(B90,data!E:E,0)),-6,H90-5)</f>
        <v>46186</v>
      </c>
      <c r="C94" s="18" t="s">
        <v>17</v>
      </c>
      <c r="D94" s="16">
        <f ca="1">OFFSET(INDEX(data!E:E,MATCH(B90,data!E:E,0)),-1,H90-5)</f>
        <v>620.45000000000005</v>
      </c>
      <c r="E94" s="18" t="s">
        <v>15</v>
      </c>
      <c r="F94" s="16">
        <f ca="1">MIN((D93-F91)/(3*_xlfn.STDEV.P(OFFSET(INDEX(data!E:E,MATCH(B90,data!E:E,0)),-1,(H90-5)-(B92-1),1,B92))),(F91-D92)/(3*_xlfn.STDEV.P(OFFSET(INDEX(data!E:E,MATCH(B90,data!E:E,0)),-1,(H90-5)-(B92-1),1,B92))))</f>
        <v>1.3207296059817306</v>
      </c>
      <c r="G94" s="43"/>
      <c r="H94" s="38"/>
      <c r="I94" s="2"/>
      <c r="J94" s="32" t="str">
        <f t="shared" ca="1" si="35"/>
        <v>PART02</v>
      </c>
      <c r="K94" s="32" t="str">
        <f t="shared" ca="1" si="35"/>
        <v>Lower Sub-Assembly</v>
      </c>
      <c r="L94" s="34" t="str">
        <f t="shared" si="35"/>
        <v>PART02_02R_Y</v>
      </c>
      <c r="M94" s="34" t="str">
        <f ca="1">M93</f>
        <v>Pos Y</v>
      </c>
      <c r="N94" s="33">
        <f t="shared" ca="1" si="34"/>
        <v>-0.67741935483854832</v>
      </c>
      <c r="O94" s="33">
        <f t="shared" ca="1" si="34"/>
        <v>1.5900045741915207</v>
      </c>
      <c r="P94" s="33">
        <f t="shared" ca="1" si="34"/>
        <v>1.3207296059817306</v>
      </c>
    </row>
    <row r="95" spans="1:16" s="34" customFormat="1" ht="36.75" customHeight="1" thickBot="1" x14ac:dyDescent="0.3">
      <c r="A95" s="29" t="s">
        <v>4</v>
      </c>
      <c r="B95" s="11" t="s">
        <v>72</v>
      </c>
      <c r="C95" s="19" t="s">
        <v>16</v>
      </c>
      <c r="D95" s="39" t="str">
        <f ca="1">OFFSET(INDEX(data!E:E,MATCH(B95,data!E:E,0)),0,1)</f>
        <v>Lower Part Outboard Hole - Pos Z</v>
      </c>
      <c r="E95" s="39"/>
      <c r="F95" s="39"/>
      <c r="G95" s="40"/>
      <c r="H95" s="36">
        <f ca="1">OFFSET(INDEX(data!E:E,MATCH(B95,data!E:E,0)),0,3)</f>
        <v>62</v>
      </c>
      <c r="I95" s="2"/>
      <c r="J95" s="32" t="str">
        <f ca="1">OFFSET(INDEX(data!E:E,MATCH(B95,data!E:E,0)),0,-2)</f>
        <v>PART02</v>
      </c>
      <c r="K95" s="32" t="str">
        <f ca="1">OFFSET(INDEX(data!E:E,MATCH(B95,data!E:E,0)),0,-1)</f>
        <v>Lower Sub-Assembly</v>
      </c>
      <c r="L95" s="34" t="str">
        <f>B95</f>
        <v>PART02_02R_Z</v>
      </c>
      <c r="M95" s="34" t="str">
        <f ca="1">B96</f>
        <v>Pos Z</v>
      </c>
      <c r="N95" s="33">
        <f ca="1">F97</f>
        <v>0.53370967741921049</v>
      </c>
      <c r="O95" s="33">
        <f ca="1">F98</f>
        <v>2.8915670927412713</v>
      </c>
      <c r="P95" s="33">
        <f ca="1">F99</f>
        <v>2.5057527576655345</v>
      </c>
    </row>
    <row r="96" spans="1:16" s="34" customFormat="1" ht="36.75" customHeight="1" x14ac:dyDescent="0.25">
      <c r="A96" s="17" t="s">
        <v>5</v>
      </c>
      <c r="B96" s="12" t="str">
        <f ca="1">OFFSET(INDEX(data!E:E,MATCH(B95,data!E:E,0)),0,2)</f>
        <v>Pos Z</v>
      </c>
      <c r="C96" s="20" t="s">
        <v>9</v>
      </c>
      <c r="D96" s="22">
        <f ca="1">OFFSET(INDEX(data!E:E,MATCH(B95,data!E:E,0)),-4,(H95-5)-(B97-1))</f>
        <v>918</v>
      </c>
      <c r="E96" s="20" t="s">
        <v>12</v>
      </c>
      <c r="F96" s="22">
        <f ca="1">AVERAGE(OFFSET(INDEX(data!E:E,MATCH(B95,data!E:E,0)),-1,(H95-5)-(B97-1),1,B97))</f>
        <v>918.53370967741921</v>
      </c>
      <c r="G96" s="41"/>
      <c r="H96" s="37"/>
      <c r="I96" s="2"/>
      <c r="J96" s="32" t="str">
        <f ca="1">J95</f>
        <v>PART02</v>
      </c>
      <c r="K96" s="32" t="str">
        <f ca="1">K95</f>
        <v>Lower Sub-Assembly</v>
      </c>
      <c r="L96" s="34" t="str">
        <f>L95</f>
        <v>PART02_02R_Z</v>
      </c>
      <c r="M96" s="34" t="str">
        <f ca="1">M95</f>
        <v>Pos Z</v>
      </c>
      <c r="N96" s="33">
        <f t="shared" ref="N96:P99" ca="1" si="36">N95</f>
        <v>0.53370967741921049</v>
      </c>
      <c r="O96" s="33">
        <f t="shared" ca="1" si="36"/>
        <v>2.8915670927412713</v>
      </c>
      <c r="P96" s="33">
        <f t="shared" ca="1" si="36"/>
        <v>2.5057527576655345</v>
      </c>
    </row>
    <row r="97" spans="1:16" s="34" customFormat="1" ht="36.75" customHeight="1" x14ac:dyDescent="0.25">
      <c r="A97" s="17" t="s">
        <v>6</v>
      </c>
      <c r="B97" s="21">
        <f ca="1">H95</f>
        <v>62</v>
      </c>
      <c r="C97" s="17" t="s">
        <v>10</v>
      </c>
      <c r="D97" s="15">
        <f ca="1">OFFSET(INDEX(data!E:E,MATCH(B95,data!E:E,0)),-3,(H95-5)-(B97-1))</f>
        <v>914</v>
      </c>
      <c r="E97" s="17" t="s">
        <v>13</v>
      </c>
      <c r="F97" s="15">
        <f ca="1">F96-D96</f>
        <v>0.53370967741921049</v>
      </c>
      <c r="G97" s="42"/>
      <c r="H97" s="37"/>
      <c r="I97" s="2"/>
      <c r="J97" s="32" t="str">
        <f t="shared" ref="J97:L99" ca="1" si="37">J96</f>
        <v>PART02</v>
      </c>
      <c r="K97" s="32" t="str">
        <f t="shared" ca="1" si="37"/>
        <v>Lower Sub-Assembly</v>
      </c>
      <c r="L97" s="34" t="str">
        <f t="shared" si="37"/>
        <v>PART02_02R_Z</v>
      </c>
      <c r="M97" s="34" t="str">
        <f ca="1">M96</f>
        <v>Pos Z</v>
      </c>
      <c r="N97" s="33">
        <f t="shared" ca="1" si="36"/>
        <v>0.53370967741921049</v>
      </c>
      <c r="O97" s="33">
        <f t="shared" ca="1" si="36"/>
        <v>2.8915670927412713</v>
      </c>
      <c r="P97" s="33">
        <f t="shared" ca="1" si="36"/>
        <v>2.5057527576655345</v>
      </c>
    </row>
    <row r="98" spans="1:16" s="34" customFormat="1" ht="36.75" customHeight="1" x14ac:dyDescent="0.25">
      <c r="A98" s="17" t="s">
        <v>7</v>
      </c>
      <c r="B98" s="13">
        <f ca="1">OFFSET(INDEX(data!E:E,MATCH(B95,data!E:E,0)),-6,(H95-5)-(B97-1))</f>
        <v>46169</v>
      </c>
      <c r="C98" s="17" t="s">
        <v>11</v>
      </c>
      <c r="D98" s="15">
        <f ca="1">OFFSET(INDEX(data!E:E,MATCH(B95,data!E:E,0)),-2,(H95-5)-(B97-1))</f>
        <v>922</v>
      </c>
      <c r="E98" s="17" t="s">
        <v>14</v>
      </c>
      <c r="F98" s="15">
        <f ca="1">(D98-D97)/(6*_xlfn.STDEV.P(OFFSET(INDEX(data!E:E,MATCH(B95,data!E:E,0)),-1,(H95-5)-(B97-1),1,B97)))</f>
        <v>2.8915670927412713</v>
      </c>
      <c r="G98" s="42"/>
      <c r="H98" s="37"/>
      <c r="I98" s="2"/>
      <c r="J98" s="32" t="str">
        <f t="shared" ca="1" si="37"/>
        <v>PART02</v>
      </c>
      <c r="K98" s="32" t="str">
        <f t="shared" ca="1" si="37"/>
        <v>Lower Sub-Assembly</v>
      </c>
      <c r="L98" s="34" t="str">
        <f t="shared" si="37"/>
        <v>PART02_02R_Z</v>
      </c>
      <c r="M98" s="34" t="str">
        <f ca="1">M97</f>
        <v>Pos Z</v>
      </c>
      <c r="N98" s="33">
        <f t="shared" ca="1" si="36"/>
        <v>0.53370967741921049</v>
      </c>
      <c r="O98" s="33">
        <f t="shared" ca="1" si="36"/>
        <v>2.8915670927412713</v>
      </c>
      <c r="P98" s="33">
        <f t="shared" ca="1" si="36"/>
        <v>2.5057527576655345</v>
      </c>
    </row>
    <row r="99" spans="1:16" s="34" customFormat="1" ht="36.75" customHeight="1" thickBot="1" x14ac:dyDescent="0.3">
      <c r="A99" s="18" t="s">
        <v>8</v>
      </c>
      <c r="B99" s="14">
        <f ca="1">OFFSET(INDEX(data!E:E,MATCH(B95,data!E:E,0)),-6,H95-5)</f>
        <v>46186</v>
      </c>
      <c r="C99" s="18" t="s">
        <v>17</v>
      </c>
      <c r="D99" s="16">
        <f ca="1">OFFSET(INDEX(data!E:E,MATCH(B95,data!E:E,0)),-1,H95-5)</f>
        <v>918.86</v>
      </c>
      <c r="E99" s="18" t="s">
        <v>15</v>
      </c>
      <c r="F99" s="16">
        <f ca="1">MIN((D98-F96)/(3*_xlfn.STDEV.P(OFFSET(INDEX(data!E:E,MATCH(B95,data!E:E,0)),-1,(H95-5)-(B97-1),1,B97))),(F96-D97)/(3*_xlfn.STDEV.P(OFFSET(INDEX(data!E:E,MATCH(B95,data!E:E,0)),-1,(H95-5)-(B97-1),1,B97))))</f>
        <v>2.5057527576655345</v>
      </c>
      <c r="G99" s="43"/>
      <c r="H99" s="38"/>
      <c r="I99" s="2"/>
      <c r="J99" s="32" t="str">
        <f t="shared" ca="1" si="37"/>
        <v>PART02</v>
      </c>
      <c r="K99" s="32" t="str">
        <f t="shared" ca="1" si="37"/>
        <v>Lower Sub-Assembly</v>
      </c>
      <c r="L99" s="34" t="str">
        <f t="shared" si="37"/>
        <v>PART02_02R_Z</v>
      </c>
      <c r="M99" s="34" t="str">
        <f ca="1">M98</f>
        <v>Pos Z</v>
      </c>
      <c r="N99" s="33">
        <f t="shared" ca="1" si="36"/>
        <v>0.53370967741921049</v>
      </c>
      <c r="O99" s="33">
        <f t="shared" ca="1" si="36"/>
        <v>2.8915670927412713</v>
      </c>
      <c r="P99" s="33">
        <f t="shared" ca="1" si="36"/>
        <v>2.5057527576655345</v>
      </c>
    </row>
    <row r="100" spans="1:16" s="34" customFormat="1" ht="36.75" customHeight="1" thickBot="1" x14ac:dyDescent="0.3">
      <c r="A100" s="29" t="s">
        <v>4</v>
      </c>
      <c r="B100" s="11" t="s">
        <v>74</v>
      </c>
      <c r="C100" s="19" t="s">
        <v>16</v>
      </c>
      <c r="D100" s="39" t="str">
        <f ca="1">OFFSET(INDEX(data!E:E,MATCH(B100,data!E:E,0)),0,1)</f>
        <v>Lower Part - Inboard vs Outboard Holes - W-Pitch</v>
      </c>
      <c r="E100" s="39"/>
      <c r="F100" s="39"/>
      <c r="G100" s="40"/>
      <c r="H100" s="36">
        <f ca="1">OFFSET(INDEX(data!E:E,MATCH(B100,data!E:E,0)),0,3)</f>
        <v>62</v>
      </c>
      <c r="I100" s="2"/>
      <c r="J100" s="32" t="str">
        <f ca="1">OFFSET(INDEX(data!E:E,MATCH(B100,data!E:E,0)),0,-2)</f>
        <v>PART02</v>
      </c>
      <c r="K100" s="32" t="str">
        <f ca="1">OFFSET(INDEX(data!E:E,MATCH(B100,data!E:E,0)),0,-1)</f>
        <v>Lower Sub-Assembly</v>
      </c>
      <c r="L100" s="34" t="str">
        <f>B100</f>
        <v>PART02_P1_Y</v>
      </c>
      <c r="M100" s="34" t="str">
        <f ca="1">B101</f>
        <v>Dist Y</v>
      </c>
      <c r="N100" s="33">
        <f ca="1">F102</f>
        <v>1.2716129032255594</v>
      </c>
      <c r="O100" s="33">
        <f ca="1">F103</f>
        <v>1.910226292888181</v>
      </c>
      <c r="P100" s="33">
        <f ca="1">F104</f>
        <v>1.3029591923588466</v>
      </c>
    </row>
    <row r="101" spans="1:16" s="34" customFormat="1" ht="36.75" customHeight="1" x14ac:dyDescent="0.25">
      <c r="A101" s="17" t="s">
        <v>5</v>
      </c>
      <c r="B101" s="12" t="str">
        <f ca="1">OFFSET(INDEX(data!E:E,MATCH(B100,data!E:E,0)),0,2)</f>
        <v>Dist Y</v>
      </c>
      <c r="C101" s="20" t="s">
        <v>9</v>
      </c>
      <c r="D101" s="22">
        <f ca="1">OFFSET(INDEX(data!E:E,MATCH(B100,data!E:E,0)),-4,(H100-5)-(B102-1))</f>
        <v>919.2</v>
      </c>
      <c r="E101" s="20" t="s">
        <v>12</v>
      </c>
      <c r="F101" s="22">
        <f ca="1">AVERAGE(OFFSET(INDEX(data!E:E,MATCH(B100,data!E:E,0)),-1,(H100-5)-(B102-1),1,B102))</f>
        <v>920.4716129032256</v>
      </c>
      <c r="G101" s="41"/>
      <c r="H101" s="37"/>
      <c r="I101" s="2"/>
      <c r="J101" s="32" t="str">
        <f ca="1">J100</f>
        <v>PART02</v>
      </c>
      <c r="K101" s="32" t="str">
        <f ca="1">K100</f>
        <v>Lower Sub-Assembly</v>
      </c>
      <c r="L101" s="34" t="str">
        <f>L100</f>
        <v>PART02_P1_Y</v>
      </c>
      <c r="M101" s="34" t="str">
        <f ca="1">M100</f>
        <v>Dist Y</v>
      </c>
      <c r="N101" s="33">
        <f t="shared" ref="N101:P104" ca="1" si="38">N100</f>
        <v>1.2716129032255594</v>
      </c>
      <c r="O101" s="33">
        <f t="shared" ca="1" si="38"/>
        <v>1.910226292888181</v>
      </c>
      <c r="P101" s="33">
        <f t="shared" ca="1" si="38"/>
        <v>1.3029591923588466</v>
      </c>
    </row>
    <row r="102" spans="1:16" s="34" customFormat="1" ht="36.75" customHeight="1" x14ac:dyDescent="0.25">
      <c r="A102" s="17" t="s">
        <v>6</v>
      </c>
      <c r="B102" s="21">
        <f ca="1">H100</f>
        <v>62</v>
      </c>
      <c r="C102" s="17" t="s">
        <v>10</v>
      </c>
      <c r="D102" s="15">
        <f ca="1">OFFSET(INDEX(data!E:E,MATCH(B100,data!E:E,0)),-3,(H100-5)-(B102-1))</f>
        <v>915.2</v>
      </c>
      <c r="E102" s="17" t="s">
        <v>13</v>
      </c>
      <c r="F102" s="15">
        <f ca="1">F101-D101</f>
        <v>1.2716129032255594</v>
      </c>
      <c r="G102" s="42"/>
      <c r="H102" s="37"/>
      <c r="I102" s="2"/>
      <c r="J102" s="32" t="str">
        <f t="shared" ref="J102:L104" ca="1" si="39">J101</f>
        <v>PART02</v>
      </c>
      <c r="K102" s="32" t="str">
        <f t="shared" ca="1" si="39"/>
        <v>Lower Sub-Assembly</v>
      </c>
      <c r="L102" s="34" t="str">
        <f t="shared" si="39"/>
        <v>PART02_P1_Y</v>
      </c>
      <c r="M102" s="34" t="str">
        <f ca="1">M101</f>
        <v>Dist Y</v>
      </c>
      <c r="N102" s="33">
        <f t="shared" ca="1" si="38"/>
        <v>1.2716129032255594</v>
      </c>
      <c r="O102" s="33">
        <f t="shared" ca="1" si="38"/>
        <v>1.910226292888181</v>
      </c>
      <c r="P102" s="33">
        <f t="shared" ca="1" si="38"/>
        <v>1.3029591923588466</v>
      </c>
    </row>
    <row r="103" spans="1:16" s="34" customFormat="1" ht="36.75" customHeight="1" x14ac:dyDescent="0.25">
      <c r="A103" s="17" t="s">
        <v>7</v>
      </c>
      <c r="B103" s="13">
        <f ca="1">OFFSET(INDEX(data!E:E,MATCH(B100,data!E:E,0)),-6,(H100-5)-(B102-1))</f>
        <v>46169</v>
      </c>
      <c r="C103" s="17" t="s">
        <v>11</v>
      </c>
      <c r="D103" s="15">
        <f ca="1">OFFSET(INDEX(data!E:E,MATCH(B100,data!E:E,0)),-2,(H100-5)-(B102-1))</f>
        <v>923.2</v>
      </c>
      <c r="E103" s="17" t="s">
        <v>14</v>
      </c>
      <c r="F103" s="15">
        <f ca="1">(D103-D102)/(6*_xlfn.STDEV.P(OFFSET(INDEX(data!E:E,MATCH(B100,data!E:E,0)),-1,(H100-5)-(B102-1),1,B102)))</f>
        <v>1.910226292888181</v>
      </c>
      <c r="G103" s="42"/>
      <c r="H103" s="37"/>
      <c r="I103" s="2"/>
      <c r="J103" s="32" t="str">
        <f t="shared" ca="1" si="39"/>
        <v>PART02</v>
      </c>
      <c r="K103" s="32" t="str">
        <f t="shared" ca="1" si="39"/>
        <v>Lower Sub-Assembly</v>
      </c>
      <c r="L103" s="34" t="str">
        <f t="shared" si="39"/>
        <v>PART02_P1_Y</v>
      </c>
      <c r="M103" s="34" t="str">
        <f ca="1">M102</f>
        <v>Dist Y</v>
      </c>
      <c r="N103" s="33">
        <f t="shared" ca="1" si="38"/>
        <v>1.2716129032255594</v>
      </c>
      <c r="O103" s="33">
        <f t="shared" ca="1" si="38"/>
        <v>1.910226292888181</v>
      </c>
      <c r="P103" s="33">
        <f t="shared" ca="1" si="38"/>
        <v>1.3029591923588466</v>
      </c>
    </row>
    <row r="104" spans="1:16" s="34" customFormat="1" ht="36.75" customHeight="1" thickBot="1" x14ac:dyDescent="0.3">
      <c r="A104" s="18" t="s">
        <v>8</v>
      </c>
      <c r="B104" s="14">
        <f ca="1">OFFSET(INDEX(data!E:E,MATCH(B100,data!E:E,0)),-6,H100-5)</f>
        <v>46186</v>
      </c>
      <c r="C104" s="18" t="s">
        <v>17</v>
      </c>
      <c r="D104" s="16">
        <f ca="1">OFFSET(INDEX(data!E:E,MATCH(B100,data!E:E,0)),-1,H100-5)</f>
        <v>919.85</v>
      </c>
      <c r="E104" s="18" t="s">
        <v>15</v>
      </c>
      <c r="F104" s="16">
        <f ca="1">MIN((D103-F101)/(3*_xlfn.STDEV.P(OFFSET(INDEX(data!E:E,MATCH(B100,data!E:E,0)),-1,(H100-5)-(B102-1),1,B102))),(F101-D102)/(3*_xlfn.STDEV.P(OFFSET(INDEX(data!E:E,MATCH(B100,data!E:E,0)),-1,(H100-5)-(B102-1),1,B102))))</f>
        <v>1.3029591923588466</v>
      </c>
      <c r="G104" s="43"/>
      <c r="H104" s="38"/>
      <c r="I104" s="2"/>
      <c r="J104" s="32" t="str">
        <f t="shared" ca="1" si="39"/>
        <v>PART02</v>
      </c>
      <c r="K104" s="32" t="str">
        <f t="shared" ca="1" si="39"/>
        <v>Lower Sub-Assembly</v>
      </c>
      <c r="L104" s="34" t="str">
        <f t="shared" si="39"/>
        <v>PART02_P1_Y</v>
      </c>
      <c r="M104" s="34" t="str">
        <f ca="1">M103</f>
        <v>Dist Y</v>
      </c>
      <c r="N104" s="33">
        <f t="shared" ca="1" si="38"/>
        <v>1.2716129032255594</v>
      </c>
      <c r="O104" s="33">
        <f t="shared" ca="1" si="38"/>
        <v>1.910226292888181</v>
      </c>
      <c r="P104" s="33">
        <f t="shared" ca="1" si="38"/>
        <v>1.3029591923588466</v>
      </c>
    </row>
  </sheetData>
  <autoFilter ref="J4:P109"/>
  <dataConsolidate/>
  <mergeCells count="62">
    <mergeCell ref="D95:G95"/>
    <mergeCell ref="H95:H99"/>
    <mergeCell ref="G96:G99"/>
    <mergeCell ref="D100:G100"/>
    <mergeCell ref="H100:H104"/>
    <mergeCell ref="G101:G104"/>
    <mergeCell ref="D85:G85"/>
    <mergeCell ref="H85:H89"/>
    <mergeCell ref="G86:G89"/>
    <mergeCell ref="D90:G90"/>
    <mergeCell ref="H90:H94"/>
    <mergeCell ref="G91:G94"/>
    <mergeCell ref="D75:G75"/>
    <mergeCell ref="H75:H79"/>
    <mergeCell ref="G76:G79"/>
    <mergeCell ref="D80:G80"/>
    <mergeCell ref="H80:H84"/>
    <mergeCell ref="G81:G84"/>
    <mergeCell ref="D65:G65"/>
    <mergeCell ref="H65:H69"/>
    <mergeCell ref="G66:G69"/>
    <mergeCell ref="D70:G70"/>
    <mergeCell ref="H70:H74"/>
    <mergeCell ref="G71:G74"/>
    <mergeCell ref="D55:G55"/>
    <mergeCell ref="H55:H59"/>
    <mergeCell ref="G56:G59"/>
    <mergeCell ref="D60:G60"/>
    <mergeCell ref="H60:H64"/>
    <mergeCell ref="G61:G64"/>
    <mergeCell ref="D45:G45"/>
    <mergeCell ref="H45:H49"/>
    <mergeCell ref="G46:G49"/>
    <mergeCell ref="D50:G50"/>
    <mergeCell ref="H50:H54"/>
    <mergeCell ref="G51:G54"/>
    <mergeCell ref="D35:G35"/>
    <mergeCell ref="H35:H39"/>
    <mergeCell ref="G36:G39"/>
    <mergeCell ref="D40:G40"/>
    <mergeCell ref="H40:H44"/>
    <mergeCell ref="G41:G44"/>
    <mergeCell ref="D25:G25"/>
    <mergeCell ref="H25:H29"/>
    <mergeCell ref="G26:G29"/>
    <mergeCell ref="D30:G30"/>
    <mergeCell ref="H30:H34"/>
    <mergeCell ref="G31:G34"/>
    <mergeCell ref="D15:G15"/>
    <mergeCell ref="H15:H19"/>
    <mergeCell ref="G16:G19"/>
    <mergeCell ref="D20:G20"/>
    <mergeCell ref="H20:H24"/>
    <mergeCell ref="G21:G24"/>
    <mergeCell ref="D5:G5"/>
    <mergeCell ref="H5:H9"/>
    <mergeCell ref="G6:G9"/>
    <mergeCell ref="D10:G10"/>
    <mergeCell ref="H10:H14"/>
    <mergeCell ref="G11:G14"/>
    <mergeCell ref="A1:H1"/>
    <mergeCell ref="A4:H4"/>
  </mergeCells>
  <dataValidations count="1">
    <dataValidation type="whole" allowBlank="1" showInputMessage="1" showErrorMessage="1" errorTitle="N out of range" error="The N value must be greater than 1 and equal or less than the total data count" sqref="B7 B12 B17 B22 B27 B32 B37 B42 B47 B52 B57 B62 B67 B72 B77 B82 B87 B92 B97 B102">
      <formula1>2</formula1>
      <formula2>H5</formula2>
    </dataValidation>
  </dataValidations>
  <printOptions horizontalCentered="1" verticalCentered="1"/>
  <pageMargins left="0" right="0" top="0" bottom="0" header="0.31496062992125984" footer="0.31496062992125984"/>
  <pageSetup paperSize="9" scale="44" orientation="portrait" r:id="rId1"/>
  <colBreaks count="2" manualBreakCount="2">
    <brk id="8" max="79" man="1"/>
    <brk id="13" max="9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J141"/>
  <sheetViews>
    <sheetView workbookViewId="0">
      <selection activeCell="E8" sqref="E8"/>
    </sheetView>
  </sheetViews>
  <sheetFormatPr defaultRowHeight="15" x14ac:dyDescent="0.25"/>
  <cols>
    <col min="1" max="1" width="11.42578125" style="28" bestFit="1" customWidth="1"/>
    <col min="2" max="2" width="20.85546875" style="28" bestFit="1" customWidth="1"/>
    <col min="3" max="3" width="16.5703125" style="28" bestFit="1" customWidth="1"/>
    <col min="4" max="4" width="27.85546875" style="28" bestFit="1" customWidth="1"/>
    <col min="5" max="5" width="21" style="28" bestFit="1" customWidth="1"/>
    <col min="6" max="6" width="18.28515625" style="28" customWidth="1"/>
    <col min="7" max="60" width="10.7109375" style="28" bestFit="1" customWidth="1"/>
    <col min="61" max="16384" width="9.140625" style="28"/>
  </cols>
  <sheetData>
    <row r="1" spans="1:62" x14ac:dyDescent="0.25">
      <c r="A1" s="28" t="s">
        <v>29</v>
      </c>
      <c r="B1" s="23">
        <v>0.49791666666666662</v>
      </c>
    </row>
    <row r="2" spans="1:62" x14ac:dyDescent="0.25">
      <c r="A2" s="5">
        <v>46169</v>
      </c>
      <c r="B2" s="5">
        <v>46169</v>
      </c>
      <c r="C2" s="5">
        <v>46169</v>
      </c>
      <c r="D2" s="5">
        <v>46169</v>
      </c>
      <c r="E2" s="5">
        <v>46170</v>
      </c>
      <c r="F2" s="5">
        <v>46170</v>
      </c>
      <c r="G2" s="5">
        <v>46171</v>
      </c>
      <c r="H2" s="5">
        <v>46171</v>
      </c>
      <c r="I2" s="5">
        <v>46171</v>
      </c>
      <c r="J2" s="5">
        <v>46171</v>
      </c>
      <c r="K2" s="5">
        <v>46172</v>
      </c>
      <c r="L2" s="5">
        <v>46172</v>
      </c>
      <c r="M2" s="5">
        <v>46172</v>
      </c>
      <c r="N2" s="5">
        <v>46174</v>
      </c>
      <c r="O2" s="5">
        <v>46174</v>
      </c>
      <c r="P2" s="5">
        <v>46174</v>
      </c>
      <c r="Q2" s="5">
        <v>46174</v>
      </c>
      <c r="R2" s="5">
        <v>46175</v>
      </c>
      <c r="S2" s="5">
        <v>46175</v>
      </c>
      <c r="T2" s="5">
        <v>46175</v>
      </c>
      <c r="U2" s="5">
        <v>46176</v>
      </c>
      <c r="V2" s="5">
        <v>46176</v>
      </c>
      <c r="W2" s="5">
        <v>46176</v>
      </c>
      <c r="X2" s="5">
        <v>46176</v>
      </c>
      <c r="Y2" s="5">
        <v>46176</v>
      </c>
      <c r="Z2" s="5">
        <v>46176</v>
      </c>
      <c r="AA2" s="5">
        <v>46176</v>
      </c>
      <c r="AB2" s="5">
        <v>46177</v>
      </c>
      <c r="AC2" s="5">
        <v>46178</v>
      </c>
      <c r="AD2" s="5">
        <v>46178</v>
      </c>
      <c r="AE2" s="5">
        <v>46178</v>
      </c>
      <c r="AF2" s="5">
        <v>46179</v>
      </c>
      <c r="AG2" s="5">
        <v>46180</v>
      </c>
      <c r="AH2" s="5">
        <v>46180</v>
      </c>
      <c r="AI2" s="5">
        <v>46180</v>
      </c>
      <c r="AJ2" s="5">
        <v>46180</v>
      </c>
      <c r="AK2" s="5">
        <v>46181</v>
      </c>
      <c r="AL2" s="5">
        <v>46181</v>
      </c>
      <c r="AM2" s="5">
        <v>46181</v>
      </c>
      <c r="AN2" s="5">
        <v>46181</v>
      </c>
      <c r="AO2" s="5">
        <v>46181</v>
      </c>
      <c r="AP2" s="5">
        <v>46182</v>
      </c>
      <c r="AQ2" s="5">
        <v>46182</v>
      </c>
      <c r="AR2" s="5">
        <v>46182</v>
      </c>
      <c r="AS2" s="5">
        <v>46182</v>
      </c>
      <c r="AT2" s="5">
        <v>46182</v>
      </c>
      <c r="AU2" s="5">
        <v>46183</v>
      </c>
      <c r="AV2" s="5">
        <v>46183</v>
      </c>
      <c r="AW2" s="5">
        <v>46183</v>
      </c>
      <c r="AX2" s="5">
        <v>46183</v>
      </c>
      <c r="AY2" s="5">
        <v>46183</v>
      </c>
      <c r="AZ2" s="5">
        <v>46184</v>
      </c>
      <c r="BA2" s="5">
        <v>46184</v>
      </c>
      <c r="BB2" s="5">
        <v>46184</v>
      </c>
      <c r="BC2" s="5">
        <v>46184</v>
      </c>
      <c r="BD2" s="5">
        <v>46184</v>
      </c>
      <c r="BE2" s="5">
        <v>46185</v>
      </c>
      <c r="BF2" s="5">
        <v>46185</v>
      </c>
      <c r="BG2" s="5">
        <v>46185</v>
      </c>
      <c r="BH2" s="5">
        <v>46185</v>
      </c>
      <c r="BI2" s="5">
        <v>46186</v>
      </c>
      <c r="BJ2" s="5">
        <v>46186</v>
      </c>
    </row>
    <row r="3" spans="1:62" x14ac:dyDescent="0.25">
      <c r="A3" s="28">
        <v>816948</v>
      </c>
      <c r="B3" s="28">
        <v>816987</v>
      </c>
      <c r="C3" s="28">
        <v>816998</v>
      </c>
      <c r="D3" s="28">
        <v>817092</v>
      </c>
      <c r="E3" s="28">
        <v>817353</v>
      </c>
      <c r="F3" s="28">
        <v>817441</v>
      </c>
      <c r="G3" s="28">
        <v>817773</v>
      </c>
      <c r="H3" s="28">
        <v>817861</v>
      </c>
      <c r="I3" s="28">
        <v>817943</v>
      </c>
      <c r="J3" s="28">
        <v>817985</v>
      </c>
      <c r="K3" s="28">
        <v>818214</v>
      </c>
      <c r="L3" s="28">
        <v>818254</v>
      </c>
      <c r="M3" s="28">
        <v>818291</v>
      </c>
      <c r="N3" s="28">
        <v>818439</v>
      </c>
      <c r="O3" s="28">
        <v>818580</v>
      </c>
      <c r="P3" s="28">
        <v>818627</v>
      </c>
      <c r="Q3" s="28">
        <v>818667</v>
      </c>
      <c r="R3" s="28">
        <v>818839</v>
      </c>
      <c r="S3" s="28">
        <v>818934</v>
      </c>
      <c r="T3" s="28">
        <v>819019</v>
      </c>
      <c r="U3" s="28">
        <v>819103</v>
      </c>
      <c r="V3" s="28">
        <v>819271</v>
      </c>
      <c r="W3" s="28">
        <v>819315</v>
      </c>
      <c r="X3" s="28">
        <v>819370</v>
      </c>
      <c r="Y3" s="28">
        <v>819445</v>
      </c>
      <c r="Z3" s="28">
        <v>819491</v>
      </c>
      <c r="AA3" s="28">
        <v>819533</v>
      </c>
      <c r="AB3" s="28">
        <v>819706</v>
      </c>
      <c r="AC3" s="28">
        <v>819995</v>
      </c>
      <c r="AD3" s="28">
        <v>820041</v>
      </c>
      <c r="AE3" s="28">
        <v>820088</v>
      </c>
      <c r="AF3" s="28">
        <v>820271</v>
      </c>
      <c r="AG3" s="28">
        <v>820495</v>
      </c>
      <c r="AH3" s="28">
        <v>820568</v>
      </c>
      <c r="AI3" s="28">
        <v>820630</v>
      </c>
      <c r="AJ3" s="28">
        <v>820670</v>
      </c>
      <c r="AK3" s="28">
        <v>820873</v>
      </c>
      <c r="AL3" s="28">
        <v>820921</v>
      </c>
      <c r="AM3" s="28">
        <v>820957</v>
      </c>
      <c r="AN3" s="28">
        <v>821024</v>
      </c>
      <c r="AO3" s="28">
        <v>821060</v>
      </c>
      <c r="AP3" s="28">
        <v>821288</v>
      </c>
      <c r="AQ3" s="28">
        <v>821319</v>
      </c>
      <c r="AR3" s="28">
        <v>821356</v>
      </c>
      <c r="AS3" s="28">
        <v>821451</v>
      </c>
      <c r="AT3" s="28">
        <v>821500</v>
      </c>
      <c r="AU3" s="28">
        <v>821710</v>
      </c>
      <c r="AV3" s="28">
        <v>821754</v>
      </c>
      <c r="AW3" s="28">
        <v>821805</v>
      </c>
      <c r="AX3" s="28">
        <v>821885</v>
      </c>
      <c r="AY3" s="28">
        <v>821931</v>
      </c>
      <c r="AZ3" s="28">
        <v>822143</v>
      </c>
      <c r="BA3" s="28">
        <v>822185</v>
      </c>
      <c r="BB3" s="28">
        <v>822236</v>
      </c>
      <c r="BC3" s="28">
        <v>822306</v>
      </c>
      <c r="BD3" s="28">
        <v>822352</v>
      </c>
      <c r="BE3" s="28">
        <v>822558</v>
      </c>
      <c r="BF3" s="28">
        <v>822647</v>
      </c>
      <c r="BG3" s="28">
        <v>822737</v>
      </c>
      <c r="BH3" s="28">
        <v>822777</v>
      </c>
      <c r="BI3" s="28">
        <v>823003</v>
      </c>
      <c r="BJ3" s="28">
        <v>823082</v>
      </c>
    </row>
    <row r="4" spans="1:62" x14ac:dyDescent="0.25">
      <c r="A4" s="28">
        <v>226.2</v>
      </c>
      <c r="B4" s="28">
        <v>226.2</v>
      </c>
      <c r="C4" s="28">
        <v>226.2</v>
      </c>
      <c r="D4" s="28">
        <v>226.2</v>
      </c>
      <c r="E4" s="28">
        <v>226.2</v>
      </c>
      <c r="F4" s="28">
        <v>226.2</v>
      </c>
      <c r="G4" s="28">
        <v>226.2</v>
      </c>
      <c r="H4" s="28">
        <v>226.2</v>
      </c>
      <c r="I4" s="28">
        <v>226.2</v>
      </c>
      <c r="J4" s="28">
        <v>226.2</v>
      </c>
      <c r="K4" s="28">
        <v>226.2</v>
      </c>
      <c r="L4" s="28">
        <v>226.2</v>
      </c>
      <c r="M4" s="28">
        <v>226.2</v>
      </c>
      <c r="N4" s="28">
        <v>226.2</v>
      </c>
      <c r="O4" s="28">
        <v>226.2</v>
      </c>
      <c r="P4" s="28">
        <v>226.2</v>
      </c>
      <c r="Q4" s="28">
        <v>226.2</v>
      </c>
      <c r="R4" s="28">
        <v>226.2</v>
      </c>
      <c r="S4" s="28">
        <v>226.2</v>
      </c>
      <c r="T4" s="28">
        <v>226.2</v>
      </c>
      <c r="U4" s="28">
        <v>226.2</v>
      </c>
      <c r="V4" s="28">
        <v>226.2</v>
      </c>
      <c r="W4" s="28">
        <v>226.2</v>
      </c>
      <c r="X4" s="28">
        <v>226.2</v>
      </c>
      <c r="Y4" s="28">
        <v>226.2</v>
      </c>
      <c r="Z4" s="28">
        <v>226.2</v>
      </c>
      <c r="AA4" s="28">
        <v>226.2</v>
      </c>
      <c r="AB4" s="28">
        <v>226.2</v>
      </c>
      <c r="AC4" s="28">
        <v>226.2</v>
      </c>
      <c r="AD4" s="28">
        <v>226.2</v>
      </c>
      <c r="AE4" s="28">
        <v>226.2</v>
      </c>
      <c r="AF4" s="28">
        <v>226.2</v>
      </c>
      <c r="AG4" s="28">
        <v>226.2</v>
      </c>
      <c r="AH4" s="28">
        <v>226.2</v>
      </c>
      <c r="AI4" s="28">
        <v>226.2</v>
      </c>
      <c r="AJ4" s="28">
        <v>226.2</v>
      </c>
      <c r="AK4" s="28">
        <v>226.2</v>
      </c>
      <c r="AL4" s="28">
        <v>226.2</v>
      </c>
      <c r="AM4" s="28">
        <v>226.2</v>
      </c>
      <c r="AN4" s="28">
        <v>226.2</v>
      </c>
      <c r="AO4" s="28">
        <v>226.2</v>
      </c>
      <c r="AP4" s="28">
        <v>226.2</v>
      </c>
      <c r="AQ4" s="28">
        <v>226.2</v>
      </c>
      <c r="AR4" s="28">
        <v>226.2</v>
      </c>
      <c r="AS4" s="28">
        <v>226.2</v>
      </c>
      <c r="AT4" s="28">
        <v>226.2</v>
      </c>
      <c r="AU4" s="28">
        <v>226.2</v>
      </c>
      <c r="AV4" s="28">
        <v>226.2</v>
      </c>
      <c r="AW4" s="28">
        <v>226.2</v>
      </c>
      <c r="AX4" s="28">
        <v>226.2</v>
      </c>
      <c r="AY4" s="28">
        <v>226.2</v>
      </c>
      <c r="AZ4" s="28">
        <v>226.2</v>
      </c>
      <c r="BA4" s="28">
        <v>226.2</v>
      </c>
      <c r="BB4" s="28">
        <v>226.2</v>
      </c>
      <c r="BC4" s="28">
        <v>226.2</v>
      </c>
      <c r="BD4" s="28">
        <v>226.2</v>
      </c>
      <c r="BE4" s="28">
        <v>226.2</v>
      </c>
      <c r="BF4" s="28">
        <v>226.2</v>
      </c>
      <c r="BG4" s="28">
        <v>226.2</v>
      </c>
      <c r="BH4" s="28">
        <v>226.2</v>
      </c>
      <c r="BI4" s="28">
        <v>226.2</v>
      </c>
      <c r="BJ4" s="28">
        <v>226.2</v>
      </c>
    </row>
    <row r="5" spans="1:62" x14ac:dyDescent="0.25">
      <c r="A5" s="28">
        <v>223.2</v>
      </c>
      <c r="B5" s="28">
        <v>223.2</v>
      </c>
      <c r="C5" s="28">
        <v>223.2</v>
      </c>
      <c r="D5" s="28">
        <v>223.2</v>
      </c>
      <c r="E5" s="28">
        <v>223.2</v>
      </c>
      <c r="F5" s="28">
        <v>223.2</v>
      </c>
      <c r="G5" s="28">
        <v>223.2</v>
      </c>
      <c r="H5" s="28">
        <v>223.2</v>
      </c>
      <c r="I5" s="28">
        <v>223.2</v>
      </c>
      <c r="J5" s="28">
        <v>223.2</v>
      </c>
      <c r="K5" s="28">
        <v>223.2</v>
      </c>
      <c r="L5" s="28">
        <v>223.2</v>
      </c>
      <c r="M5" s="28">
        <v>223.2</v>
      </c>
      <c r="N5" s="28">
        <v>223.2</v>
      </c>
      <c r="O5" s="28">
        <v>223.2</v>
      </c>
      <c r="P5" s="28">
        <v>223.2</v>
      </c>
      <c r="Q5" s="28">
        <v>223.2</v>
      </c>
      <c r="R5" s="28">
        <v>223.2</v>
      </c>
      <c r="S5" s="28">
        <v>223.2</v>
      </c>
      <c r="T5" s="28">
        <v>223.2</v>
      </c>
      <c r="U5" s="28">
        <v>223.2</v>
      </c>
      <c r="V5" s="28">
        <v>223.2</v>
      </c>
      <c r="W5" s="28">
        <v>223.2</v>
      </c>
      <c r="X5" s="28">
        <v>223.2</v>
      </c>
      <c r="Y5" s="28">
        <v>223.2</v>
      </c>
      <c r="Z5" s="28">
        <v>223.2</v>
      </c>
      <c r="AA5" s="28">
        <v>223.2</v>
      </c>
      <c r="AB5" s="28">
        <v>223.2</v>
      </c>
      <c r="AC5" s="28">
        <v>223.2</v>
      </c>
      <c r="AD5" s="28">
        <v>223.2</v>
      </c>
      <c r="AE5" s="28">
        <v>223.2</v>
      </c>
      <c r="AF5" s="28">
        <v>223.2</v>
      </c>
      <c r="AG5" s="28">
        <v>223.2</v>
      </c>
      <c r="AH5" s="28">
        <v>223.2</v>
      </c>
      <c r="AI5" s="28">
        <v>223.2</v>
      </c>
      <c r="AJ5" s="28">
        <v>223.2</v>
      </c>
      <c r="AK5" s="28">
        <v>223.2</v>
      </c>
      <c r="AL5" s="28">
        <v>223.2</v>
      </c>
      <c r="AM5" s="28">
        <v>223.2</v>
      </c>
      <c r="AN5" s="28">
        <v>223.2</v>
      </c>
      <c r="AO5" s="28">
        <v>223.2</v>
      </c>
      <c r="AP5" s="28">
        <v>223.2</v>
      </c>
      <c r="AQ5" s="28">
        <v>223.2</v>
      </c>
      <c r="AR5" s="28">
        <v>223.2</v>
      </c>
      <c r="AS5" s="28">
        <v>223.2</v>
      </c>
      <c r="AT5" s="28">
        <v>223.2</v>
      </c>
      <c r="AU5" s="28">
        <v>223.2</v>
      </c>
      <c r="AV5" s="28">
        <v>223.2</v>
      </c>
      <c r="AW5" s="28">
        <v>223.2</v>
      </c>
      <c r="AX5" s="28">
        <v>223.2</v>
      </c>
      <c r="AY5" s="28">
        <v>223.2</v>
      </c>
      <c r="AZ5" s="28">
        <v>223.2</v>
      </c>
      <c r="BA5" s="28">
        <v>223.2</v>
      </c>
      <c r="BB5" s="28">
        <v>223.2</v>
      </c>
      <c r="BC5" s="28">
        <v>223.2</v>
      </c>
      <c r="BD5" s="28">
        <v>223.2</v>
      </c>
      <c r="BE5" s="28">
        <v>223.2</v>
      </c>
      <c r="BF5" s="28">
        <v>223.2</v>
      </c>
      <c r="BG5" s="28">
        <v>223.2</v>
      </c>
      <c r="BH5" s="28">
        <v>223.2</v>
      </c>
      <c r="BI5" s="28">
        <v>223.2</v>
      </c>
      <c r="BJ5" s="28">
        <v>223.2</v>
      </c>
    </row>
    <row r="6" spans="1:62" x14ac:dyDescent="0.25">
      <c r="A6" s="28">
        <v>229.2</v>
      </c>
      <c r="B6" s="28">
        <v>229.2</v>
      </c>
      <c r="C6" s="28">
        <v>229.2</v>
      </c>
      <c r="D6" s="28">
        <v>229.2</v>
      </c>
      <c r="E6" s="28">
        <v>229.2</v>
      </c>
      <c r="F6" s="28">
        <v>229.2</v>
      </c>
      <c r="G6" s="28">
        <v>229.2</v>
      </c>
      <c r="H6" s="28">
        <v>229.2</v>
      </c>
      <c r="I6" s="28">
        <v>229.2</v>
      </c>
      <c r="J6" s="28">
        <v>229.2</v>
      </c>
      <c r="K6" s="28">
        <v>229.2</v>
      </c>
      <c r="L6" s="28">
        <v>229.2</v>
      </c>
      <c r="M6" s="28">
        <v>229.2</v>
      </c>
      <c r="N6" s="28">
        <v>229.2</v>
      </c>
      <c r="O6" s="28">
        <v>229.2</v>
      </c>
      <c r="P6" s="28">
        <v>229.2</v>
      </c>
      <c r="Q6" s="28">
        <v>229.2</v>
      </c>
      <c r="R6" s="28">
        <v>229.2</v>
      </c>
      <c r="S6" s="28">
        <v>229.2</v>
      </c>
      <c r="T6" s="28">
        <v>229.2</v>
      </c>
      <c r="U6" s="28">
        <v>229.2</v>
      </c>
      <c r="V6" s="28">
        <v>229.2</v>
      </c>
      <c r="W6" s="28">
        <v>229.2</v>
      </c>
      <c r="X6" s="28">
        <v>229.2</v>
      </c>
      <c r="Y6" s="28">
        <v>229.2</v>
      </c>
      <c r="Z6" s="28">
        <v>229.2</v>
      </c>
      <c r="AA6" s="28">
        <v>229.2</v>
      </c>
      <c r="AB6" s="28">
        <v>229.2</v>
      </c>
      <c r="AC6" s="28">
        <v>229.2</v>
      </c>
      <c r="AD6" s="28">
        <v>229.2</v>
      </c>
      <c r="AE6" s="28">
        <v>229.2</v>
      </c>
      <c r="AF6" s="28">
        <v>229.2</v>
      </c>
      <c r="AG6" s="28">
        <v>229.2</v>
      </c>
      <c r="AH6" s="28">
        <v>229.2</v>
      </c>
      <c r="AI6" s="28">
        <v>229.2</v>
      </c>
      <c r="AJ6" s="28">
        <v>229.2</v>
      </c>
      <c r="AK6" s="28">
        <v>229.2</v>
      </c>
      <c r="AL6" s="28">
        <v>229.2</v>
      </c>
      <c r="AM6" s="28">
        <v>229.2</v>
      </c>
      <c r="AN6" s="28">
        <v>229.2</v>
      </c>
      <c r="AO6" s="28">
        <v>229.2</v>
      </c>
      <c r="AP6" s="28">
        <v>229.2</v>
      </c>
      <c r="AQ6" s="28">
        <v>229.2</v>
      </c>
      <c r="AR6" s="28">
        <v>229.2</v>
      </c>
      <c r="AS6" s="28">
        <v>229.2</v>
      </c>
      <c r="AT6" s="28">
        <v>229.2</v>
      </c>
      <c r="AU6" s="28">
        <v>229.2</v>
      </c>
      <c r="AV6" s="28">
        <v>229.2</v>
      </c>
      <c r="AW6" s="28">
        <v>229.2</v>
      </c>
      <c r="AX6" s="28">
        <v>229.2</v>
      </c>
      <c r="AY6" s="28">
        <v>229.2</v>
      </c>
      <c r="AZ6" s="28">
        <v>229.2</v>
      </c>
      <c r="BA6" s="28">
        <v>229.2</v>
      </c>
      <c r="BB6" s="28">
        <v>229.2</v>
      </c>
      <c r="BC6" s="28">
        <v>229.2</v>
      </c>
      <c r="BD6" s="28">
        <v>229.2</v>
      </c>
      <c r="BE6" s="28">
        <v>229.2</v>
      </c>
      <c r="BF6" s="28">
        <v>229.2</v>
      </c>
      <c r="BG6" s="28">
        <v>229.2</v>
      </c>
      <c r="BH6" s="28">
        <v>229.2</v>
      </c>
      <c r="BI6" s="28">
        <v>229.2</v>
      </c>
      <c r="BJ6" s="28">
        <v>229.2</v>
      </c>
    </row>
    <row r="7" spans="1:62" x14ac:dyDescent="0.25">
      <c r="A7" s="28">
        <v>226.02</v>
      </c>
      <c r="B7" s="28">
        <v>227.21</v>
      </c>
      <c r="C7" s="28">
        <v>227.46</v>
      </c>
      <c r="D7" s="28">
        <v>227.7</v>
      </c>
      <c r="E7" s="28">
        <v>226.5</v>
      </c>
      <c r="F7" s="28">
        <v>227</v>
      </c>
      <c r="G7" s="28">
        <v>226.7</v>
      </c>
      <c r="H7" s="28">
        <v>226</v>
      </c>
      <c r="I7" s="28">
        <v>226.5</v>
      </c>
      <c r="J7" s="28">
        <v>227.44</v>
      </c>
      <c r="K7" s="28">
        <v>226.8</v>
      </c>
      <c r="L7" s="28">
        <v>227.06</v>
      </c>
      <c r="M7" s="28">
        <v>226.43</v>
      </c>
      <c r="N7" s="28">
        <v>227.24</v>
      </c>
      <c r="O7" s="28">
        <v>227.23</v>
      </c>
      <c r="P7" s="28">
        <v>227.47</v>
      </c>
      <c r="Q7" s="28">
        <v>226.74</v>
      </c>
      <c r="R7" s="28">
        <v>227.59</v>
      </c>
      <c r="S7" s="28">
        <v>227.7</v>
      </c>
      <c r="T7" s="28">
        <v>227.2</v>
      </c>
      <c r="U7" s="28">
        <v>226.8</v>
      </c>
      <c r="V7" s="28">
        <v>227.63</v>
      </c>
      <c r="W7" s="28">
        <v>227.2</v>
      </c>
      <c r="X7" s="28">
        <v>227.2</v>
      </c>
      <c r="Y7" s="28">
        <v>227.3</v>
      </c>
      <c r="Z7" s="28">
        <v>227.6</v>
      </c>
      <c r="AA7" s="28">
        <v>227.2</v>
      </c>
      <c r="AB7" s="28">
        <v>226.95</v>
      </c>
      <c r="AC7" s="28">
        <v>225.6</v>
      </c>
      <c r="AD7" s="28">
        <v>227.36</v>
      </c>
      <c r="AE7" s="28">
        <v>227.37</v>
      </c>
      <c r="AF7" s="28">
        <v>226.88</v>
      </c>
      <c r="AG7" s="28">
        <v>226.15</v>
      </c>
      <c r="AH7" s="28">
        <v>226.36</v>
      </c>
      <c r="AI7" s="28">
        <v>226.6</v>
      </c>
      <c r="AJ7" s="28">
        <v>226.6</v>
      </c>
      <c r="AK7" s="28">
        <v>227.38</v>
      </c>
      <c r="AL7" s="28">
        <v>227.08</v>
      </c>
      <c r="AM7" s="28">
        <v>226.53</v>
      </c>
      <c r="AN7" s="28">
        <v>226.39</v>
      </c>
      <c r="AO7" s="28">
        <v>227.43</v>
      </c>
      <c r="AP7" s="28">
        <v>226.29</v>
      </c>
      <c r="AQ7" s="28">
        <v>227.21</v>
      </c>
      <c r="AR7" s="28">
        <v>227.35</v>
      </c>
      <c r="AS7" s="28">
        <v>227.29</v>
      </c>
      <c r="AT7" s="28">
        <v>227.22</v>
      </c>
      <c r="AU7" s="28">
        <v>226.52</v>
      </c>
      <c r="AV7" s="28">
        <v>227.16</v>
      </c>
      <c r="AW7" s="28">
        <v>227.08</v>
      </c>
      <c r="AX7" s="28">
        <v>227.46</v>
      </c>
      <c r="AY7" s="28">
        <v>227.17</v>
      </c>
      <c r="AZ7" s="28">
        <v>226.42</v>
      </c>
      <c r="BA7" s="28">
        <v>227.07</v>
      </c>
      <c r="BB7" s="28">
        <v>226.99</v>
      </c>
      <c r="BC7" s="28">
        <v>227.01</v>
      </c>
      <c r="BD7" s="28">
        <v>226.75</v>
      </c>
      <c r="BE7" s="28">
        <v>226.66</v>
      </c>
      <c r="BF7" s="28">
        <v>226.84</v>
      </c>
      <c r="BG7" s="28">
        <v>226.43</v>
      </c>
      <c r="BH7" s="28">
        <v>226.71</v>
      </c>
      <c r="BI7" s="28">
        <v>227.62</v>
      </c>
      <c r="BJ7" s="28">
        <v>227</v>
      </c>
    </row>
    <row r="8" spans="1:62" x14ac:dyDescent="0.25">
      <c r="A8" s="28" t="s">
        <v>30</v>
      </c>
      <c r="B8" s="28" t="s">
        <v>31</v>
      </c>
      <c r="C8" s="28" t="s">
        <v>32</v>
      </c>
      <c r="D8" s="28" t="s">
        <v>33</v>
      </c>
      <c r="E8" s="28" t="s">
        <v>34</v>
      </c>
      <c r="F8" s="28" t="s">
        <v>35</v>
      </c>
      <c r="G8" s="28" t="s">
        <v>18</v>
      </c>
      <c r="H8" s="28">
        <v>62</v>
      </c>
    </row>
    <row r="9" spans="1:62" x14ac:dyDescent="0.25">
      <c r="A9" s="5">
        <v>46169</v>
      </c>
      <c r="B9" s="5">
        <v>46169</v>
      </c>
      <c r="C9" s="5">
        <v>46169</v>
      </c>
      <c r="D9" s="5">
        <v>46169</v>
      </c>
      <c r="E9" s="5">
        <v>46170</v>
      </c>
      <c r="F9" s="5">
        <v>46170</v>
      </c>
      <c r="G9" s="5">
        <v>46171</v>
      </c>
      <c r="H9" s="5">
        <v>46171</v>
      </c>
      <c r="I9" s="5">
        <v>46171</v>
      </c>
      <c r="J9" s="5">
        <v>46171</v>
      </c>
      <c r="K9" s="5">
        <v>46172</v>
      </c>
      <c r="L9" s="5">
        <v>46172</v>
      </c>
      <c r="M9" s="5">
        <v>46172</v>
      </c>
      <c r="N9" s="5">
        <v>46174</v>
      </c>
      <c r="O9" s="5">
        <v>46174</v>
      </c>
      <c r="P9" s="5">
        <v>46174</v>
      </c>
      <c r="Q9" s="5">
        <v>46174</v>
      </c>
      <c r="R9" s="5">
        <v>46175</v>
      </c>
      <c r="S9" s="5">
        <v>46175</v>
      </c>
      <c r="T9" s="5">
        <v>46175</v>
      </c>
      <c r="U9" s="5">
        <v>46176</v>
      </c>
      <c r="V9" s="5">
        <v>46176</v>
      </c>
      <c r="W9" s="5">
        <v>46176</v>
      </c>
      <c r="X9" s="5">
        <v>46176</v>
      </c>
      <c r="Y9" s="5">
        <v>46176</v>
      </c>
      <c r="Z9" s="5">
        <v>46176</v>
      </c>
      <c r="AA9" s="5">
        <v>46176</v>
      </c>
      <c r="AB9" s="5">
        <v>46177</v>
      </c>
      <c r="AC9" s="5">
        <v>46178</v>
      </c>
      <c r="AD9" s="5">
        <v>46178</v>
      </c>
      <c r="AE9" s="5">
        <v>46178</v>
      </c>
      <c r="AF9" s="5">
        <v>46179</v>
      </c>
      <c r="AG9" s="5">
        <v>46180</v>
      </c>
      <c r="AH9" s="5">
        <v>46180</v>
      </c>
      <c r="AI9" s="5">
        <v>46180</v>
      </c>
      <c r="AJ9" s="5">
        <v>46180</v>
      </c>
      <c r="AK9" s="5">
        <v>46181</v>
      </c>
      <c r="AL9" s="5">
        <v>46181</v>
      </c>
      <c r="AM9" s="5">
        <v>46181</v>
      </c>
      <c r="AN9" s="5">
        <v>46181</v>
      </c>
      <c r="AO9" s="5">
        <v>46181</v>
      </c>
      <c r="AP9" s="5">
        <v>46182</v>
      </c>
      <c r="AQ9" s="5">
        <v>46182</v>
      </c>
      <c r="AR9" s="5">
        <v>46182</v>
      </c>
      <c r="AS9" s="5">
        <v>46182</v>
      </c>
      <c r="AT9" s="5">
        <v>46182</v>
      </c>
      <c r="AU9" s="5">
        <v>46183</v>
      </c>
      <c r="AV9" s="5">
        <v>46183</v>
      </c>
      <c r="AW9" s="5">
        <v>46183</v>
      </c>
      <c r="AX9" s="5">
        <v>46183</v>
      </c>
      <c r="AY9" s="5">
        <v>46183</v>
      </c>
      <c r="AZ9" s="5">
        <v>46184</v>
      </c>
      <c r="BA9" s="5">
        <v>46184</v>
      </c>
      <c r="BB9" s="5">
        <v>46184</v>
      </c>
      <c r="BC9" s="5">
        <v>46184</v>
      </c>
      <c r="BD9" s="5">
        <v>46184</v>
      </c>
      <c r="BE9" s="5">
        <v>46185</v>
      </c>
      <c r="BF9" s="5">
        <v>46185</v>
      </c>
      <c r="BG9" s="5">
        <v>46185</v>
      </c>
      <c r="BH9" s="5">
        <v>46185</v>
      </c>
      <c r="BI9" s="5">
        <v>46186</v>
      </c>
      <c r="BJ9" s="5">
        <v>46186</v>
      </c>
    </row>
    <row r="10" spans="1:62" x14ac:dyDescent="0.25">
      <c r="A10" s="28">
        <v>816948</v>
      </c>
      <c r="B10" s="28">
        <v>816987</v>
      </c>
      <c r="C10" s="28">
        <v>816998</v>
      </c>
      <c r="D10" s="28">
        <v>817092</v>
      </c>
      <c r="E10" s="28">
        <v>817353</v>
      </c>
      <c r="F10" s="28">
        <v>817441</v>
      </c>
      <c r="G10" s="28">
        <v>817773</v>
      </c>
      <c r="H10" s="28">
        <v>817861</v>
      </c>
      <c r="I10" s="28">
        <v>817943</v>
      </c>
      <c r="J10" s="28">
        <v>817985</v>
      </c>
      <c r="K10" s="28">
        <v>818214</v>
      </c>
      <c r="L10" s="28">
        <v>818254</v>
      </c>
      <c r="M10" s="28">
        <v>818291</v>
      </c>
      <c r="N10" s="28">
        <v>818439</v>
      </c>
      <c r="O10" s="28">
        <v>818580</v>
      </c>
      <c r="P10" s="28">
        <v>818627</v>
      </c>
      <c r="Q10" s="28">
        <v>818667</v>
      </c>
      <c r="R10" s="28">
        <v>818839</v>
      </c>
      <c r="S10" s="28">
        <v>818934</v>
      </c>
      <c r="T10" s="28">
        <v>819019</v>
      </c>
      <c r="U10" s="28">
        <v>819103</v>
      </c>
      <c r="V10" s="28">
        <v>819271</v>
      </c>
      <c r="W10" s="28">
        <v>819315</v>
      </c>
      <c r="X10" s="28">
        <v>819370</v>
      </c>
      <c r="Y10" s="28">
        <v>819445</v>
      </c>
      <c r="Z10" s="28">
        <v>819491</v>
      </c>
      <c r="AA10" s="28">
        <v>819533</v>
      </c>
      <c r="AB10" s="28">
        <v>819706</v>
      </c>
      <c r="AC10" s="28">
        <v>819995</v>
      </c>
      <c r="AD10" s="28">
        <v>820041</v>
      </c>
      <c r="AE10" s="28">
        <v>820088</v>
      </c>
      <c r="AF10" s="28">
        <v>820271</v>
      </c>
      <c r="AG10" s="28">
        <v>820495</v>
      </c>
      <c r="AH10" s="28">
        <v>820568</v>
      </c>
      <c r="AI10" s="28">
        <v>820630</v>
      </c>
      <c r="AJ10" s="28">
        <v>820670</v>
      </c>
      <c r="AK10" s="28">
        <v>820873</v>
      </c>
      <c r="AL10" s="28">
        <v>820921</v>
      </c>
      <c r="AM10" s="28">
        <v>820957</v>
      </c>
      <c r="AN10" s="28">
        <v>821024</v>
      </c>
      <c r="AO10" s="28">
        <v>821060</v>
      </c>
      <c r="AP10" s="28">
        <v>821288</v>
      </c>
      <c r="AQ10" s="28">
        <v>821319</v>
      </c>
      <c r="AR10" s="28">
        <v>821356</v>
      </c>
      <c r="AS10" s="28">
        <v>821451</v>
      </c>
      <c r="AT10" s="28">
        <v>821500</v>
      </c>
      <c r="AU10" s="28">
        <v>821710</v>
      </c>
      <c r="AV10" s="28">
        <v>821754</v>
      </c>
      <c r="AW10" s="28">
        <v>821805</v>
      </c>
      <c r="AX10" s="28">
        <v>821885</v>
      </c>
      <c r="AY10" s="28">
        <v>821931</v>
      </c>
      <c r="AZ10" s="28">
        <v>822143</v>
      </c>
      <c r="BA10" s="28">
        <v>822185</v>
      </c>
      <c r="BB10" s="28">
        <v>822236</v>
      </c>
      <c r="BC10" s="28">
        <v>822306</v>
      </c>
      <c r="BD10" s="28">
        <v>822352</v>
      </c>
      <c r="BE10" s="28">
        <v>822558</v>
      </c>
      <c r="BF10" s="28">
        <v>822647</v>
      </c>
      <c r="BG10" s="28">
        <v>822737</v>
      </c>
      <c r="BH10" s="28">
        <v>822777</v>
      </c>
      <c r="BI10" s="28">
        <v>823003</v>
      </c>
      <c r="BJ10" s="28">
        <v>823082</v>
      </c>
    </row>
    <row r="11" spans="1:62" x14ac:dyDescent="0.25">
      <c r="A11" s="28">
        <v>-326</v>
      </c>
      <c r="B11" s="28">
        <v>-326</v>
      </c>
      <c r="C11" s="28">
        <v>-326</v>
      </c>
      <c r="D11" s="28">
        <v>-326</v>
      </c>
      <c r="E11" s="28">
        <v>-326</v>
      </c>
      <c r="F11" s="28">
        <v>-326</v>
      </c>
      <c r="G11" s="28">
        <v>-326</v>
      </c>
      <c r="H11" s="28">
        <v>-326</v>
      </c>
      <c r="I11" s="28">
        <v>-326</v>
      </c>
      <c r="J11" s="28">
        <v>-326</v>
      </c>
      <c r="K11" s="28">
        <v>-326</v>
      </c>
      <c r="L11" s="28">
        <v>-326</v>
      </c>
      <c r="M11" s="28">
        <v>-326</v>
      </c>
      <c r="N11" s="28">
        <v>-326</v>
      </c>
      <c r="O11" s="28">
        <v>-326</v>
      </c>
      <c r="P11" s="28">
        <v>-326</v>
      </c>
      <c r="Q11" s="28">
        <v>-326</v>
      </c>
      <c r="R11" s="28">
        <v>-326</v>
      </c>
      <c r="S11" s="28">
        <v>-326</v>
      </c>
      <c r="T11" s="28">
        <v>-326</v>
      </c>
      <c r="U11" s="28">
        <v>-326</v>
      </c>
      <c r="V11" s="28">
        <v>-326</v>
      </c>
      <c r="W11" s="28">
        <v>-326</v>
      </c>
      <c r="X11" s="28">
        <v>-326</v>
      </c>
      <c r="Y11" s="28">
        <v>-326</v>
      </c>
      <c r="Z11" s="28">
        <v>-326</v>
      </c>
      <c r="AA11" s="28">
        <v>-326</v>
      </c>
      <c r="AB11" s="28">
        <v>-326</v>
      </c>
      <c r="AC11" s="28">
        <v>-326</v>
      </c>
      <c r="AD11" s="28">
        <v>-326</v>
      </c>
      <c r="AE11" s="28">
        <v>-326</v>
      </c>
      <c r="AF11" s="28">
        <v>-326</v>
      </c>
      <c r="AG11" s="28">
        <v>-326</v>
      </c>
      <c r="AH11" s="28">
        <v>-326</v>
      </c>
      <c r="AI11" s="28">
        <v>-326</v>
      </c>
      <c r="AJ11" s="28">
        <v>-326</v>
      </c>
      <c r="AK11" s="28">
        <v>-326</v>
      </c>
      <c r="AL11" s="28">
        <v>-326</v>
      </c>
      <c r="AM11" s="28">
        <v>-326</v>
      </c>
      <c r="AN11" s="28">
        <v>-326</v>
      </c>
      <c r="AO11" s="28">
        <v>-326</v>
      </c>
      <c r="AP11" s="28">
        <v>-326</v>
      </c>
      <c r="AQ11" s="28">
        <v>-326</v>
      </c>
      <c r="AR11" s="28">
        <v>-326</v>
      </c>
      <c r="AS11" s="28">
        <v>-326</v>
      </c>
      <c r="AT11" s="28">
        <v>-326</v>
      </c>
      <c r="AU11" s="28">
        <v>-326</v>
      </c>
      <c r="AV11" s="28">
        <v>-326</v>
      </c>
      <c r="AW11" s="28">
        <v>-326</v>
      </c>
      <c r="AX11" s="28">
        <v>-326</v>
      </c>
      <c r="AY11" s="28">
        <v>-326</v>
      </c>
      <c r="AZ11" s="28">
        <v>-326</v>
      </c>
      <c r="BA11" s="28">
        <v>-326</v>
      </c>
      <c r="BB11" s="28">
        <v>-326</v>
      </c>
      <c r="BC11" s="28">
        <v>-326</v>
      </c>
      <c r="BD11" s="28">
        <v>-326</v>
      </c>
      <c r="BE11" s="28">
        <v>-326</v>
      </c>
      <c r="BF11" s="28">
        <v>-326</v>
      </c>
      <c r="BG11" s="28">
        <v>-326</v>
      </c>
      <c r="BH11" s="28">
        <v>-326</v>
      </c>
      <c r="BI11" s="28">
        <v>-326</v>
      </c>
      <c r="BJ11" s="28">
        <v>-326</v>
      </c>
    </row>
    <row r="12" spans="1:62" x14ac:dyDescent="0.25">
      <c r="A12" s="28">
        <v>-329</v>
      </c>
      <c r="B12" s="28">
        <v>-329</v>
      </c>
      <c r="C12" s="28">
        <v>-329</v>
      </c>
      <c r="D12" s="28">
        <v>-329</v>
      </c>
      <c r="E12" s="28">
        <v>-329</v>
      </c>
      <c r="F12" s="28">
        <v>-329</v>
      </c>
      <c r="G12" s="28">
        <v>-329</v>
      </c>
      <c r="H12" s="28">
        <v>-329</v>
      </c>
      <c r="I12" s="28">
        <v>-329</v>
      </c>
      <c r="J12" s="28">
        <v>-329</v>
      </c>
      <c r="K12" s="28">
        <v>-329</v>
      </c>
      <c r="L12" s="28">
        <v>-329</v>
      </c>
      <c r="M12" s="28">
        <v>-329</v>
      </c>
      <c r="N12" s="28">
        <v>-329</v>
      </c>
      <c r="O12" s="28">
        <v>-329</v>
      </c>
      <c r="P12" s="28">
        <v>-329</v>
      </c>
      <c r="Q12" s="28">
        <v>-329</v>
      </c>
      <c r="R12" s="28">
        <v>-329</v>
      </c>
      <c r="S12" s="28">
        <v>-329</v>
      </c>
      <c r="T12" s="28">
        <v>-329</v>
      </c>
      <c r="U12" s="28">
        <v>-329</v>
      </c>
      <c r="V12" s="28">
        <v>-329</v>
      </c>
      <c r="W12" s="28">
        <v>-329</v>
      </c>
      <c r="X12" s="28">
        <v>-329</v>
      </c>
      <c r="Y12" s="28">
        <v>-329</v>
      </c>
      <c r="Z12" s="28">
        <v>-329</v>
      </c>
      <c r="AA12" s="28">
        <v>-329</v>
      </c>
      <c r="AB12" s="28">
        <v>-329</v>
      </c>
      <c r="AC12" s="28">
        <v>-329</v>
      </c>
      <c r="AD12" s="28">
        <v>-329</v>
      </c>
      <c r="AE12" s="28">
        <v>-329</v>
      </c>
      <c r="AF12" s="28">
        <v>-329</v>
      </c>
      <c r="AG12" s="28">
        <v>-329</v>
      </c>
      <c r="AH12" s="28">
        <v>-329</v>
      </c>
      <c r="AI12" s="28">
        <v>-329</v>
      </c>
      <c r="AJ12" s="28">
        <v>-329</v>
      </c>
      <c r="AK12" s="28">
        <v>-329</v>
      </c>
      <c r="AL12" s="28">
        <v>-329</v>
      </c>
      <c r="AM12" s="28">
        <v>-329</v>
      </c>
      <c r="AN12" s="28">
        <v>-329</v>
      </c>
      <c r="AO12" s="28">
        <v>-329</v>
      </c>
      <c r="AP12" s="28">
        <v>-329</v>
      </c>
      <c r="AQ12" s="28">
        <v>-329</v>
      </c>
      <c r="AR12" s="28">
        <v>-329</v>
      </c>
      <c r="AS12" s="28">
        <v>-329</v>
      </c>
      <c r="AT12" s="28">
        <v>-329</v>
      </c>
      <c r="AU12" s="28">
        <v>-329</v>
      </c>
      <c r="AV12" s="28">
        <v>-329</v>
      </c>
      <c r="AW12" s="28">
        <v>-329</v>
      </c>
      <c r="AX12" s="28">
        <v>-329</v>
      </c>
      <c r="AY12" s="28">
        <v>-329</v>
      </c>
      <c r="AZ12" s="28">
        <v>-329</v>
      </c>
      <c r="BA12" s="28">
        <v>-329</v>
      </c>
      <c r="BB12" s="28">
        <v>-329</v>
      </c>
      <c r="BC12" s="28">
        <v>-329</v>
      </c>
      <c r="BD12" s="28">
        <v>-329</v>
      </c>
      <c r="BE12" s="28">
        <v>-329</v>
      </c>
      <c r="BF12" s="28">
        <v>-329</v>
      </c>
      <c r="BG12" s="28">
        <v>-329</v>
      </c>
      <c r="BH12" s="28">
        <v>-329</v>
      </c>
      <c r="BI12" s="28">
        <v>-329</v>
      </c>
      <c r="BJ12" s="28">
        <v>-329</v>
      </c>
    </row>
    <row r="13" spans="1:62" x14ac:dyDescent="0.25">
      <c r="A13" s="28">
        <v>-323</v>
      </c>
      <c r="B13" s="28">
        <v>-323</v>
      </c>
      <c r="C13" s="28">
        <v>-323</v>
      </c>
      <c r="D13" s="28">
        <v>-323</v>
      </c>
      <c r="E13" s="28">
        <v>-323</v>
      </c>
      <c r="F13" s="28">
        <v>-323</v>
      </c>
      <c r="G13" s="28">
        <v>-323</v>
      </c>
      <c r="H13" s="28">
        <v>-323</v>
      </c>
      <c r="I13" s="28">
        <v>-323</v>
      </c>
      <c r="J13" s="28">
        <v>-323</v>
      </c>
      <c r="K13" s="28">
        <v>-323</v>
      </c>
      <c r="L13" s="28">
        <v>-323</v>
      </c>
      <c r="M13" s="28">
        <v>-323</v>
      </c>
      <c r="N13" s="28">
        <v>-323</v>
      </c>
      <c r="O13" s="28">
        <v>-323</v>
      </c>
      <c r="P13" s="28">
        <v>-323</v>
      </c>
      <c r="Q13" s="28">
        <v>-323</v>
      </c>
      <c r="R13" s="28">
        <v>-323</v>
      </c>
      <c r="S13" s="28">
        <v>-323</v>
      </c>
      <c r="T13" s="28">
        <v>-323</v>
      </c>
      <c r="U13" s="28">
        <v>-323</v>
      </c>
      <c r="V13" s="28">
        <v>-323</v>
      </c>
      <c r="W13" s="28">
        <v>-323</v>
      </c>
      <c r="X13" s="28">
        <v>-323</v>
      </c>
      <c r="Y13" s="28">
        <v>-323</v>
      </c>
      <c r="Z13" s="28">
        <v>-323</v>
      </c>
      <c r="AA13" s="28">
        <v>-323</v>
      </c>
      <c r="AB13" s="28">
        <v>-323</v>
      </c>
      <c r="AC13" s="28">
        <v>-323</v>
      </c>
      <c r="AD13" s="28">
        <v>-323</v>
      </c>
      <c r="AE13" s="28">
        <v>-323</v>
      </c>
      <c r="AF13" s="28">
        <v>-323</v>
      </c>
      <c r="AG13" s="28">
        <v>-323</v>
      </c>
      <c r="AH13" s="28">
        <v>-323</v>
      </c>
      <c r="AI13" s="28">
        <v>-323</v>
      </c>
      <c r="AJ13" s="28">
        <v>-323</v>
      </c>
      <c r="AK13" s="28">
        <v>-323</v>
      </c>
      <c r="AL13" s="28">
        <v>-323</v>
      </c>
      <c r="AM13" s="28">
        <v>-323</v>
      </c>
      <c r="AN13" s="28">
        <v>-323</v>
      </c>
      <c r="AO13" s="28">
        <v>-323</v>
      </c>
      <c r="AP13" s="28">
        <v>-323</v>
      </c>
      <c r="AQ13" s="28">
        <v>-323</v>
      </c>
      <c r="AR13" s="28">
        <v>-323</v>
      </c>
      <c r="AS13" s="28">
        <v>-323</v>
      </c>
      <c r="AT13" s="28">
        <v>-323</v>
      </c>
      <c r="AU13" s="28">
        <v>-323</v>
      </c>
      <c r="AV13" s="28">
        <v>-323</v>
      </c>
      <c r="AW13" s="28">
        <v>-323</v>
      </c>
      <c r="AX13" s="28">
        <v>-323</v>
      </c>
      <c r="AY13" s="28">
        <v>-323</v>
      </c>
      <c r="AZ13" s="28">
        <v>-323</v>
      </c>
      <c r="BA13" s="28">
        <v>-323</v>
      </c>
      <c r="BB13" s="28">
        <v>-323</v>
      </c>
      <c r="BC13" s="28">
        <v>-323</v>
      </c>
      <c r="BD13" s="28">
        <v>-323</v>
      </c>
      <c r="BE13" s="28">
        <v>-323</v>
      </c>
      <c r="BF13" s="28">
        <v>-323</v>
      </c>
      <c r="BG13" s="28">
        <v>-323</v>
      </c>
      <c r="BH13" s="28">
        <v>-323</v>
      </c>
      <c r="BI13" s="28">
        <v>-323</v>
      </c>
      <c r="BJ13" s="28">
        <v>-323</v>
      </c>
    </row>
    <row r="14" spans="1:62" x14ac:dyDescent="0.25">
      <c r="A14" s="28">
        <v>-327.92</v>
      </c>
      <c r="B14" s="28">
        <v>-327.13</v>
      </c>
      <c r="C14" s="28">
        <v>-327.52</v>
      </c>
      <c r="D14" s="28">
        <v>-326.60000000000002</v>
      </c>
      <c r="E14" s="28">
        <v>-327.3</v>
      </c>
      <c r="F14" s="28">
        <v>-327.5</v>
      </c>
      <c r="G14" s="28">
        <v>-327</v>
      </c>
      <c r="H14" s="28">
        <v>-327.9</v>
      </c>
      <c r="I14" s="28">
        <v>-327.2</v>
      </c>
      <c r="J14" s="28">
        <v>-327.37</v>
      </c>
      <c r="K14" s="28">
        <v>-327.39999999999998</v>
      </c>
      <c r="L14" s="28">
        <v>-327.58999999999997</v>
      </c>
      <c r="M14" s="28">
        <v>-326.39</v>
      </c>
      <c r="N14" s="28">
        <v>-327.58</v>
      </c>
      <c r="O14" s="28">
        <v>-327.93</v>
      </c>
      <c r="P14" s="28">
        <v>-327.49</v>
      </c>
      <c r="Q14" s="28">
        <v>-328.24</v>
      </c>
      <c r="R14" s="28">
        <v>-327.44</v>
      </c>
      <c r="S14" s="28">
        <v>-327.7</v>
      </c>
      <c r="T14" s="28">
        <v>-327.5</v>
      </c>
      <c r="U14" s="28">
        <v>-329.2</v>
      </c>
      <c r="V14" s="28">
        <v>-327.02</v>
      </c>
      <c r="W14" s="28">
        <v>-328.2</v>
      </c>
      <c r="X14" s="28">
        <v>-329</v>
      </c>
      <c r="Y14" s="28">
        <v>-328.6</v>
      </c>
      <c r="Z14" s="28">
        <v>-327.23</v>
      </c>
      <c r="AA14" s="28">
        <v>-327.98</v>
      </c>
      <c r="AB14" s="28">
        <v>-327.52999999999997</v>
      </c>
      <c r="AC14" s="28">
        <v>-329.15</v>
      </c>
      <c r="AD14" s="28">
        <v>-328.47</v>
      </c>
      <c r="AE14" s="28">
        <v>-328.21</v>
      </c>
      <c r="AF14" s="28">
        <v>-327.79</v>
      </c>
      <c r="AG14" s="28">
        <v>-328.25</v>
      </c>
      <c r="AH14" s="28">
        <v>-328.45</v>
      </c>
      <c r="AI14" s="28">
        <v>-327</v>
      </c>
      <c r="AJ14" s="28">
        <v>-328.52</v>
      </c>
      <c r="AK14" s="28">
        <v>-328.44</v>
      </c>
      <c r="AL14" s="28">
        <v>-326.79000000000002</v>
      </c>
      <c r="AM14" s="28">
        <v>-326.79000000000002</v>
      </c>
      <c r="AN14" s="28">
        <v>-326.85000000000002</v>
      </c>
      <c r="AO14" s="28">
        <v>-327.08</v>
      </c>
      <c r="AP14" s="28">
        <v>-327.17</v>
      </c>
      <c r="AQ14" s="28">
        <v>-327.26</v>
      </c>
      <c r="AR14" s="28">
        <v>-327.69</v>
      </c>
      <c r="AS14" s="28">
        <v>-327.57</v>
      </c>
      <c r="AT14" s="28">
        <v>-327.57</v>
      </c>
      <c r="AU14" s="28">
        <v>-327.52</v>
      </c>
      <c r="AV14" s="28">
        <v>-327.01</v>
      </c>
      <c r="AW14" s="28">
        <v>-327.52999999999997</v>
      </c>
      <c r="AX14" s="28">
        <v>-327.56</v>
      </c>
      <c r="AY14" s="28">
        <v>-326.85000000000002</v>
      </c>
      <c r="AZ14" s="28">
        <v>-327.99</v>
      </c>
      <c r="BA14" s="28">
        <v>-327.18</v>
      </c>
      <c r="BB14" s="28">
        <v>-328.16</v>
      </c>
      <c r="BC14" s="28">
        <v>-327.71</v>
      </c>
      <c r="BD14" s="28">
        <v>-327.96</v>
      </c>
      <c r="BE14" s="28">
        <v>-328.22</v>
      </c>
      <c r="BF14" s="28">
        <v>-328.45</v>
      </c>
      <c r="BG14" s="28">
        <v>-328.02</v>
      </c>
      <c r="BH14" s="28">
        <v>-328.84</v>
      </c>
      <c r="BI14" s="28">
        <v>-328.19</v>
      </c>
      <c r="BJ14" s="28">
        <v>-327.89</v>
      </c>
    </row>
    <row r="15" spans="1:62" x14ac:dyDescent="0.25">
      <c r="A15" s="28" t="s">
        <v>30</v>
      </c>
      <c r="B15" s="28" t="s">
        <v>31</v>
      </c>
      <c r="C15" s="28" t="s">
        <v>32</v>
      </c>
      <c r="D15" s="28" t="s">
        <v>33</v>
      </c>
      <c r="E15" s="28" t="s">
        <v>36</v>
      </c>
      <c r="F15" s="28" t="s">
        <v>37</v>
      </c>
      <c r="G15" s="28" t="s">
        <v>23</v>
      </c>
      <c r="H15" s="28">
        <v>62</v>
      </c>
    </row>
    <row r="16" spans="1:62" x14ac:dyDescent="0.25">
      <c r="A16" s="5">
        <v>46169</v>
      </c>
      <c r="B16" s="5">
        <v>46169</v>
      </c>
      <c r="C16" s="5">
        <v>46169</v>
      </c>
      <c r="D16" s="5">
        <v>46169</v>
      </c>
      <c r="E16" s="5">
        <v>46170</v>
      </c>
      <c r="F16" s="5">
        <v>46170</v>
      </c>
      <c r="G16" s="5">
        <v>46171</v>
      </c>
      <c r="H16" s="5">
        <v>46171</v>
      </c>
      <c r="I16" s="5">
        <v>46171</v>
      </c>
      <c r="J16" s="5">
        <v>46171</v>
      </c>
      <c r="K16" s="5">
        <v>46172</v>
      </c>
      <c r="L16" s="5">
        <v>46172</v>
      </c>
      <c r="M16" s="5">
        <v>46172</v>
      </c>
      <c r="N16" s="5">
        <v>46174</v>
      </c>
      <c r="O16" s="5">
        <v>46174</v>
      </c>
      <c r="P16" s="5">
        <v>46174</v>
      </c>
      <c r="Q16" s="5">
        <v>46174</v>
      </c>
      <c r="R16" s="5">
        <v>46175</v>
      </c>
      <c r="S16" s="5">
        <v>46175</v>
      </c>
      <c r="T16" s="5">
        <v>46175</v>
      </c>
      <c r="U16" s="5">
        <v>46176</v>
      </c>
      <c r="V16" s="5">
        <v>46176</v>
      </c>
      <c r="W16" s="5">
        <v>46176</v>
      </c>
      <c r="X16" s="5">
        <v>46176</v>
      </c>
      <c r="Y16" s="5">
        <v>46176</v>
      </c>
      <c r="Z16" s="5">
        <v>46176</v>
      </c>
      <c r="AA16" s="5">
        <v>46176</v>
      </c>
      <c r="AB16" s="5">
        <v>46177</v>
      </c>
      <c r="AC16" s="5">
        <v>46178</v>
      </c>
      <c r="AD16" s="5">
        <v>46178</v>
      </c>
      <c r="AE16" s="5">
        <v>46178</v>
      </c>
      <c r="AF16" s="5">
        <v>46179</v>
      </c>
      <c r="AG16" s="5">
        <v>46180</v>
      </c>
      <c r="AH16" s="5">
        <v>46180</v>
      </c>
      <c r="AI16" s="5">
        <v>46180</v>
      </c>
      <c r="AJ16" s="5">
        <v>46180</v>
      </c>
      <c r="AK16" s="5">
        <v>46181</v>
      </c>
      <c r="AL16" s="5">
        <v>46181</v>
      </c>
      <c r="AM16" s="5">
        <v>46181</v>
      </c>
      <c r="AN16" s="5">
        <v>46181</v>
      </c>
      <c r="AO16" s="5">
        <v>46181</v>
      </c>
      <c r="AP16" s="5">
        <v>46182</v>
      </c>
      <c r="AQ16" s="5">
        <v>46182</v>
      </c>
      <c r="AR16" s="5">
        <v>46182</v>
      </c>
      <c r="AS16" s="5">
        <v>46182</v>
      </c>
      <c r="AT16" s="5">
        <v>46182</v>
      </c>
      <c r="AU16" s="5">
        <v>46183</v>
      </c>
      <c r="AV16" s="5">
        <v>46183</v>
      </c>
      <c r="AW16" s="5">
        <v>46183</v>
      </c>
      <c r="AX16" s="5">
        <v>46183</v>
      </c>
      <c r="AY16" s="5">
        <v>46183</v>
      </c>
      <c r="AZ16" s="5">
        <v>46184</v>
      </c>
      <c r="BA16" s="5">
        <v>46184</v>
      </c>
      <c r="BB16" s="5">
        <v>46184</v>
      </c>
      <c r="BC16" s="5">
        <v>46184</v>
      </c>
      <c r="BD16" s="5">
        <v>46184</v>
      </c>
      <c r="BE16" s="5">
        <v>46185</v>
      </c>
      <c r="BF16" s="5">
        <v>46185</v>
      </c>
      <c r="BG16" s="5">
        <v>46185</v>
      </c>
      <c r="BH16" s="5">
        <v>46185</v>
      </c>
      <c r="BI16" s="5">
        <v>46186</v>
      </c>
      <c r="BJ16" s="5">
        <v>46186</v>
      </c>
    </row>
    <row r="17" spans="1:62" x14ac:dyDescent="0.25">
      <c r="A17" s="28">
        <v>816948</v>
      </c>
      <c r="B17" s="28">
        <v>816987</v>
      </c>
      <c r="C17" s="28">
        <v>816998</v>
      </c>
      <c r="D17" s="28">
        <v>817092</v>
      </c>
      <c r="E17" s="28">
        <v>817353</v>
      </c>
      <c r="F17" s="28">
        <v>817441</v>
      </c>
      <c r="G17" s="28">
        <v>817773</v>
      </c>
      <c r="H17" s="28">
        <v>817861</v>
      </c>
      <c r="I17" s="28">
        <v>817943</v>
      </c>
      <c r="J17" s="28">
        <v>817985</v>
      </c>
      <c r="K17" s="28">
        <v>818214</v>
      </c>
      <c r="L17" s="28">
        <v>818254</v>
      </c>
      <c r="M17" s="28">
        <v>818291</v>
      </c>
      <c r="N17" s="28">
        <v>818439</v>
      </c>
      <c r="O17" s="28">
        <v>818580</v>
      </c>
      <c r="P17" s="28">
        <v>818627</v>
      </c>
      <c r="Q17" s="28">
        <v>818667</v>
      </c>
      <c r="R17" s="28">
        <v>818839</v>
      </c>
      <c r="S17" s="28">
        <v>818934</v>
      </c>
      <c r="T17" s="28">
        <v>819019</v>
      </c>
      <c r="U17" s="28">
        <v>819103</v>
      </c>
      <c r="V17" s="28">
        <v>819271</v>
      </c>
      <c r="W17" s="28">
        <v>819315</v>
      </c>
      <c r="X17" s="28">
        <v>819370</v>
      </c>
      <c r="Y17" s="28">
        <v>819445</v>
      </c>
      <c r="Z17" s="28">
        <v>819491</v>
      </c>
      <c r="AA17" s="28">
        <v>819533</v>
      </c>
      <c r="AB17" s="28">
        <v>819706</v>
      </c>
      <c r="AC17" s="28">
        <v>819995</v>
      </c>
      <c r="AD17" s="28">
        <v>820041</v>
      </c>
      <c r="AE17" s="28">
        <v>820088</v>
      </c>
      <c r="AF17" s="28">
        <v>820271</v>
      </c>
      <c r="AG17" s="28">
        <v>820495</v>
      </c>
      <c r="AH17" s="28">
        <v>820568</v>
      </c>
      <c r="AI17" s="28">
        <v>820630</v>
      </c>
      <c r="AJ17" s="28">
        <v>820670</v>
      </c>
      <c r="AK17" s="28">
        <v>820873</v>
      </c>
      <c r="AL17" s="28">
        <v>820921</v>
      </c>
      <c r="AM17" s="28">
        <v>820957</v>
      </c>
      <c r="AN17" s="28">
        <v>821024</v>
      </c>
      <c r="AO17" s="28">
        <v>821060</v>
      </c>
      <c r="AP17" s="28">
        <v>821288</v>
      </c>
      <c r="AQ17" s="28">
        <v>821319</v>
      </c>
      <c r="AR17" s="28">
        <v>821356</v>
      </c>
      <c r="AS17" s="28">
        <v>821451</v>
      </c>
      <c r="AT17" s="28">
        <v>821500</v>
      </c>
      <c r="AU17" s="28">
        <v>821710</v>
      </c>
      <c r="AV17" s="28">
        <v>821754</v>
      </c>
      <c r="AW17" s="28">
        <v>821805</v>
      </c>
      <c r="AX17" s="28">
        <v>821885</v>
      </c>
      <c r="AY17" s="28">
        <v>821931</v>
      </c>
      <c r="AZ17" s="28">
        <v>822143</v>
      </c>
      <c r="BA17" s="28">
        <v>822185</v>
      </c>
      <c r="BB17" s="28">
        <v>822236</v>
      </c>
      <c r="BC17" s="28">
        <v>822306</v>
      </c>
      <c r="BD17" s="28">
        <v>822352</v>
      </c>
      <c r="BE17" s="28">
        <v>822558</v>
      </c>
      <c r="BF17" s="28">
        <v>822647</v>
      </c>
      <c r="BG17" s="28">
        <v>822737</v>
      </c>
      <c r="BH17" s="28">
        <v>822777</v>
      </c>
      <c r="BI17" s="28">
        <v>823003</v>
      </c>
      <c r="BJ17" s="28">
        <v>823082</v>
      </c>
    </row>
    <row r="18" spans="1:62" x14ac:dyDescent="0.25">
      <c r="A18" s="28">
        <v>990.2</v>
      </c>
      <c r="B18" s="28">
        <v>990.2</v>
      </c>
      <c r="C18" s="28">
        <v>990.2</v>
      </c>
      <c r="D18" s="28">
        <v>990.2</v>
      </c>
      <c r="E18" s="28">
        <v>990.2</v>
      </c>
      <c r="F18" s="28">
        <v>990.2</v>
      </c>
      <c r="G18" s="28">
        <v>990.2</v>
      </c>
      <c r="H18" s="28">
        <v>990.2</v>
      </c>
      <c r="I18" s="28">
        <v>990.2</v>
      </c>
      <c r="J18" s="28">
        <v>990.2</v>
      </c>
      <c r="K18" s="28">
        <v>990.2</v>
      </c>
      <c r="L18" s="28">
        <v>990.2</v>
      </c>
      <c r="M18" s="28">
        <v>990.2</v>
      </c>
      <c r="N18" s="28">
        <v>990.2</v>
      </c>
      <c r="O18" s="28">
        <v>990.2</v>
      </c>
      <c r="P18" s="28">
        <v>990.2</v>
      </c>
      <c r="Q18" s="28">
        <v>990.2</v>
      </c>
      <c r="R18" s="28">
        <v>990.2</v>
      </c>
      <c r="S18" s="28">
        <v>990.2</v>
      </c>
      <c r="T18" s="28">
        <v>990.2</v>
      </c>
      <c r="U18" s="28">
        <v>990.2</v>
      </c>
      <c r="V18" s="28">
        <v>990.2</v>
      </c>
      <c r="W18" s="28">
        <v>990.2</v>
      </c>
      <c r="X18" s="28">
        <v>990.2</v>
      </c>
      <c r="Y18" s="28">
        <v>990.2</v>
      </c>
      <c r="Z18" s="28">
        <v>990.2</v>
      </c>
      <c r="AA18" s="28">
        <v>990.2</v>
      </c>
      <c r="AB18" s="28">
        <v>990.2</v>
      </c>
      <c r="AC18" s="28">
        <v>990.2</v>
      </c>
      <c r="AD18" s="28">
        <v>990.2</v>
      </c>
      <c r="AE18" s="28">
        <v>990.2</v>
      </c>
      <c r="AF18" s="28">
        <v>990.2</v>
      </c>
      <c r="AG18" s="28">
        <v>990.2</v>
      </c>
      <c r="AH18" s="28">
        <v>990.2</v>
      </c>
      <c r="AI18" s="28">
        <v>990.2</v>
      </c>
      <c r="AJ18" s="28">
        <v>990.2</v>
      </c>
      <c r="AK18" s="28">
        <v>990.2</v>
      </c>
      <c r="AL18" s="28">
        <v>990.2</v>
      </c>
      <c r="AM18" s="28">
        <v>990.2</v>
      </c>
      <c r="AN18" s="28">
        <v>990.2</v>
      </c>
      <c r="AO18" s="28">
        <v>990.2</v>
      </c>
      <c r="AP18" s="28">
        <v>990.2</v>
      </c>
      <c r="AQ18" s="28">
        <v>990.2</v>
      </c>
      <c r="AR18" s="28">
        <v>990.2</v>
      </c>
      <c r="AS18" s="28">
        <v>990.2</v>
      </c>
      <c r="AT18" s="28">
        <v>990.2</v>
      </c>
      <c r="AU18" s="28">
        <v>990.2</v>
      </c>
      <c r="AV18" s="28">
        <v>990.2</v>
      </c>
      <c r="AW18" s="28">
        <v>990.2</v>
      </c>
      <c r="AX18" s="28">
        <v>990.2</v>
      </c>
      <c r="AY18" s="28">
        <v>990.2</v>
      </c>
      <c r="AZ18" s="28">
        <v>990.2</v>
      </c>
      <c r="BA18" s="28">
        <v>990.2</v>
      </c>
      <c r="BB18" s="28">
        <v>990.2</v>
      </c>
      <c r="BC18" s="28">
        <v>990.2</v>
      </c>
      <c r="BD18" s="28">
        <v>990.2</v>
      </c>
      <c r="BE18" s="28">
        <v>990.2</v>
      </c>
      <c r="BF18" s="28">
        <v>990.2</v>
      </c>
      <c r="BG18" s="28">
        <v>990.2</v>
      </c>
      <c r="BH18" s="28">
        <v>990.2</v>
      </c>
      <c r="BI18" s="28">
        <v>990.2</v>
      </c>
      <c r="BJ18" s="28">
        <v>990.2</v>
      </c>
    </row>
    <row r="19" spans="1:62" x14ac:dyDescent="0.25">
      <c r="A19" s="28">
        <v>987.2</v>
      </c>
      <c r="B19" s="28">
        <v>987.2</v>
      </c>
      <c r="C19" s="28">
        <v>987.2</v>
      </c>
      <c r="D19" s="28">
        <v>987.2</v>
      </c>
      <c r="E19" s="28">
        <v>987.2</v>
      </c>
      <c r="F19" s="28">
        <v>987.2</v>
      </c>
      <c r="G19" s="28">
        <v>987.2</v>
      </c>
      <c r="H19" s="28">
        <v>987.2</v>
      </c>
      <c r="I19" s="28">
        <v>987.2</v>
      </c>
      <c r="J19" s="28">
        <v>987.2</v>
      </c>
      <c r="K19" s="28">
        <v>987.2</v>
      </c>
      <c r="L19" s="28">
        <v>987.2</v>
      </c>
      <c r="M19" s="28">
        <v>987.2</v>
      </c>
      <c r="N19" s="28">
        <v>987.2</v>
      </c>
      <c r="O19" s="28">
        <v>987.2</v>
      </c>
      <c r="P19" s="28">
        <v>987.2</v>
      </c>
      <c r="Q19" s="28">
        <v>987.2</v>
      </c>
      <c r="R19" s="28">
        <v>987.2</v>
      </c>
      <c r="S19" s="28">
        <v>987.2</v>
      </c>
      <c r="T19" s="28">
        <v>987.2</v>
      </c>
      <c r="U19" s="28">
        <v>987.2</v>
      </c>
      <c r="V19" s="28">
        <v>987.2</v>
      </c>
      <c r="W19" s="28">
        <v>987.2</v>
      </c>
      <c r="X19" s="28">
        <v>987.2</v>
      </c>
      <c r="Y19" s="28">
        <v>987.2</v>
      </c>
      <c r="Z19" s="28">
        <v>987.2</v>
      </c>
      <c r="AA19" s="28">
        <v>987.2</v>
      </c>
      <c r="AB19" s="28">
        <v>987.2</v>
      </c>
      <c r="AC19" s="28">
        <v>987.2</v>
      </c>
      <c r="AD19" s="28">
        <v>987.2</v>
      </c>
      <c r="AE19" s="28">
        <v>987.2</v>
      </c>
      <c r="AF19" s="28">
        <v>987.2</v>
      </c>
      <c r="AG19" s="28">
        <v>987.2</v>
      </c>
      <c r="AH19" s="28">
        <v>987.2</v>
      </c>
      <c r="AI19" s="28">
        <v>987.2</v>
      </c>
      <c r="AJ19" s="28">
        <v>987.2</v>
      </c>
      <c r="AK19" s="28">
        <v>987.2</v>
      </c>
      <c r="AL19" s="28">
        <v>987.2</v>
      </c>
      <c r="AM19" s="28">
        <v>987.2</v>
      </c>
      <c r="AN19" s="28">
        <v>987.2</v>
      </c>
      <c r="AO19" s="28">
        <v>987.2</v>
      </c>
      <c r="AP19" s="28">
        <v>987.2</v>
      </c>
      <c r="AQ19" s="28">
        <v>987.2</v>
      </c>
      <c r="AR19" s="28">
        <v>987.2</v>
      </c>
      <c r="AS19" s="28">
        <v>987.2</v>
      </c>
      <c r="AT19" s="28">
        <v>987.2</v>
      </c>
      <c r="AU19" s="28">
        <v>987.2</v>
      </c>
      <c r="AV19" s="28">
        <v>987.2</v>
      </c>
      <c r="AW19" s="28">
        <v>987.2</v>
      </c>
      <c r="AX19" s="28">
        <v>987.2</v>
      </c>
      <c r="AY19" s="28">
        <v>987.2</v>
      </c>
      <c r="AZ19" s="28">
        <v>987.2</v>
      </c>
      <c r="BA19" s="28">
        <v>987.2</v>
      </c>
      <c r="BB19" s="28">
        <v>987.2</v>
      </c>
      <c r="BC19" s="28">
        <v>987.2</v>
      </c>
      <c r="BD19" s="28">
        <v>987.2</v>
      </c>
      <c r="BE19" s="28">
        <v>987.2</v>
      </c>
      <c r="BF19" s="28">
        <v>987.2</v>
      </c>
      <c r="BG19" s="28">
        <v>987.2</v>
      </c>
      <c r="BH19" s="28">
        <v>987.2</v>
      </c>
      <c r="BI19" s="28">
        <v>987.2</v>
      </c>
      <c r="BJ19" s="28">
        <v>987.2</v>
      </c>
    </row>
    <row r="20" spans="1:62" x14ac:dyDescent="0.25">
      <c r="A20" s="28">
        <v>993.2</v>
      </c>
      <c r="B20" s="28">
        <v>993.2</v>
      </c>
      <c r="C20" s="28">
        <v>993.2</v>
      </c>
      <c r="D20" s="28">
        <v>993.2</v>
      </c>
      <c r="E20" s="28">
        <v>993.2</v>
      </c>
      <c r="F20" s="28">
        <v>993.2</v>
      </c>
      <c r="G20" s="28">
        <v>993.2</v>
      </c>
      <c r="H20" s="28">
        <v>993.2</v>
      </c>
      <c r="I20" s="28">
        <v>993.2</v>
      </c>
      <c r="J20" s="28">
        <v>993.2</v>
      </c>
      <c r="K20" s="28">
        <v>993.2</v>
      </c>
      <c r="L20" s="28">
        <v>993.2</v>
      </c>
      <c r="M20" s="28">
        <v>993.2</v>
      </c>
      <c r="N20" s="28">
        <v>993.2</v>
      </c>
      <c r="O20" s="28">
        <v>993.2</v>
      </c>
      <c r="P20" s="28">
        <v>993.2</v>
      </c>
      <c r="Q20" s="28">
        <v>993.2</v>
      </c>
      <c r="R20" s="28">
        <v>993.2</v>
      </c>
      <c r="S20" s="28">
        <v>993.2</v>
      </c>
      <c r="T20" s="28">
        <v>993.2</v>
      </c>
      <c r="U20" s="28">
        <v>993.2</v>
      </c>
      <c r="V20" s="28">
        <v>993.2</v>
      </c>
      <c r="W20" s="28">
        <v>993.2</v>
      </c>
      <c r="X20" s="28">
        <v>993.2</v>
      </c>
      <c r="Y20" s="28">
        <v>993.2</v>
      </c>
      <c r="Z20" s="28">
        <v>993.2</v>
      </c>
      <c r="AA20" s="28">
        <v>993.2</v>
      </c>
      <c r="AB20" s="28">
        <v>993.2</v>
      </c>
      <c r="AC20" s="28">
        <v>993.2</v>
      </c>
      <c r="AD20" s="28">
        <v>993.2</v>
      </c>
      <c r="AE20" s="28">
        <v>993.2</v>
      </c>
      <c r="AF20" s="28">
        <v>993.2</v>
      </c>
      <c r="AG20" s="28">
        <v>993.2</v>
      </c>
      <c r="AH20" s="28">
        <v>993.2</v>
      </c>
      <c r="AI20" s="28">
        <v>993.2</v>
      </c>
      <c r="AJ20" s="28">
        <v>993.2</v>
      </c>
      <c r="AK20" s="28">
        <v>993.2</v>
      </c>
      <c r="AL20" s="28">
        <v>993.2</v>
      </c>
      <c r="AM20" s="28">
        <v>993.2</v>
      </c>
      <c r="AN20" s="28">
        <v>993.2</v>
      </c>
      <c r="AO20" s="28">
        <v>993.2</v>
      </c>
      <c r="AP20" s="28">
        <v>993.2</v>
      </c>
      <c r="AQ20" s="28">
        <v>993.2</v>
      </c>
      <c r="AR20" s="28">
        <v>993.2</v>
      </c>
      <c r="AS20" s="28">
        <v>993.2</v>
      </c>
      <c r="AT20" s="28">
        <v>993.2</v>
      </c>
      <c r="AU20" s="28">
        <v>993.2</v>
      </c>
      <c r="AV20" s="28">
        <v>993.2</v>
      </c>
      <c r="AW20" s="28">
        <v>993.2</v>
      </c>
      <c r="AX20" s="28">
        <v>993.2</v>
      </c>
      <c r="AY20" s="28">
        <v>993.2</v>
      </c>
      <c r="AZ20" s="28">
        <v>993.2</v>
      </c>
      <c r="BA20" s="28">
        <v>993.2</v>
      </c>
      <c r="BB20" s="28">
        <v>993.2</v>
      </c>
      <c r="BC20" s="28">
        <v>993.2</v>
      </c>
      <c r="BD20" s="28">
        <v>993.2</v>
      </c>
      <c r="BE20" s="28">
        <v>993.2</v>
      </c>
      <c r="BF20" s="28">
        <v>993.2</v>
      </c>
      <c r="BG20" s="28">
        <v>993.2</v>
      </c>
      <c r="BH20" s="28">
        <v>993.2</v>
      </c>
      <c r="BI20" s="28">
        <v>993.2</v>
      </c>
      <c r="BJ20" s="28">
        <v>993.2</v>
      </c>
    </row>
    <row r="21" spans="1:62" x14ac:dyDescent="0.25">
      <c r="A21" s="28">
        <v>989.14</v>
      </c>
      <c r="B21" s="28">
        <v>989.95</v>
      </c>
      <c r="C21" s="28">
        <v>989.61</v>
      </c>
      <c r="D21" s="28">
        <v>990</v>
      </c>
      <c r="E21" s="28">
        <v>989.8</v>
      </c>
      <c r="F21" s="28">
        <v>990.3</v>
      </c>
      <c r="G21" s="28">
        <v>990.2</v>
      </c>
      <c r="H21" s="28">
        <v>989.8</v>
      </c>
      <c r="I21" s="28">
        <v>989.9</v>
      </c>
      <c r="J21" s="28">
        <v>989.98</v>
      </c>
      <c r="K21" s="28">
        <v>989.87</v>
      </c>
      <c r="L21" s="28">
        <v>989.86</v>
      </c>
      <c r="M21" s="28">
        <v>990.49</v>
      </c>
      <c r="N21" s="28">
        <v>989.97</v>
      </c>
      <c r="O21" s="28">
        <v>989.71</v>
      </c>
      <c r="P21" s="28">
        <v>989.97</v>
      </c>
      <c r="Q21" s="28">
        <v>989.18</v>
      </c>
      <c r="R21" s="28">
        <v>989.75</v>
      </c>
      <c r="S21" s="28">
        <v>989.8</v>
      </c>
      <c r="T21" s="28">
        <v>989.9</v>
      </c>
      <c r="U21" s="28">
        <v>989.4</v>
      </c>
      <c r="V21" s="28">
        <v>990</v>
      </c>
      <c r="W21" s="28">
        <v>989.6</v>
      </c>
      <c r="X21" s="28">
        <v>989.8</v>
      </c>
      <c r="Y21" s="28">
        <v>990.4</v>
      </c>
      <c r="Z21" s="28">
        <v>989.97</v>
      </c>
      <c r="AA21" s="28">
        <v>990.28</v>
      </c>
      <c r="AB21" s="28">
        <v>989.57</v>
      </c>
      <c r="AC21" s="28">
        <v>989.34</v>
      </c>
      <c r="AD21" s="28">
        <v>989.67</v>
      </c>
      <c r="AE21" s="28">
        <v>990</v>
      </c>
      <c r="AF21" s="28">
        <v>989.66</v>
      </c>
      <c r="AG21" s="28">
        <v>989.47</v>
      </c>
      <c r="AH21" s="28">
        <v>989.51</v>
      </c>
      <c r="AI21" s="28">
        <v>990.2</v>
      </c>
      <c r="AJ21" s="28">
        <v>989.12</v>
      </c>
      <c r="AK21" s="28">
        <v>989.85</v>
      </c>
      <c r="AL21" s="28">
        <v>990.24</v>
      </c>
      <c r="AM21" s="28">
        <v>989.87</v>
      </c>
      <c r="AN21" s="28">
        <v>989.55</v>
      </c>
      <c r="AO21" s="28">
        <v>989.99</v>
      </c>
      <c r="AP21" s="28">
        <v>989.72</v>
      </c>
      <c r="AQ21" s="28">
        <v>990.13</v>
      </c>
      <c r="AR21" s="28">
        <v>989.8</v>
      </c>
      <c r="AS21" s="28">
        <v>989.57</v>
      </c>
      <c r="AT21" s="28">
        <v>989.9</v>
      </c>
      <c r="AU21" s="28">
        <v>989.7</v>
      </c>
      <c r="AV21" s="28">
        <v>990.12</v>
      </c>
      <c r="AW21" s="28">
        <v>989.59</v>
      </c>
      <c r="AX21" s="28">
        <v>989.53</v>
      </c>
      <c r="AY21" s="28">
        <v>990.6</v>
      </c>
      <c r="AZ21" s="28">
        <v>989.3</v>
      </c>
      <c r="BA21" s="28">
        <v>990.23</v>
      </c>
      <c r="BB21" s="28">
        <v>989.59</v>
      </c>
      <c r="BC21" s="28">
        <v>989.37</v>
      </c>
      <c r="BD21" s="28">
        <v>989.41</v>
      </c>
      <c r="BE21" s="28">
        <v>989.71</v>
      </c>
      <c r="BF21" s="28">
        <v>989.51</v>
      </c>
      <c r="BG21" s="28">
        <v>989.26</v>
      </c>
      <c r="BH21" s="28">
        <v>989.33</v>
      </c>
      <c r="BI21" s="28">
        <v>989.03</v>
      </c>
      <c r="BJ21" s="28">
        <v>989.09</v>
      </c>
    </row>
    <row r="22" spans="1:62" x14ac:dyDescent="0.25">
      <c r="A22" s="28" t="s">
        <v>30</v>
      </c>
      <c r="B22" s="28" t="s">
        <v>31</v>
      </c>
      <c r="C22" s="28" t="s">
        <v>32</v>
      </c>
      <c r="D22" s="28" t="s">
        <v>33</v>
      </c>
      <c r="E22" s="28" t="s">
        <v>38</v>
      </c>
      <c r="F22" s="28" t="s">
        <v>39</v>
      </c>
      <c r="G22" s="28" t="s">
        <v>24</v>
      </c>
      <c r="H22" s="28">
        <v>62</v>
      </c>
    </row>
    <row r="23" spans="1:62" x14ac:dyDescent="0.25">
      <c r="A23" s="5">
        <v>46169</v>
      </c>
      <c r="B23" s="5">
        <v>46169</v>
      </c>
      <c r="C23" s="5">
        <v>46169</v>
      </c>
      <c r="D23" s="5">
        <v>46169</v>
      </c>
      <c r="E23" s="5">
        <v>46170</v>
      </c>
      <c r="F23" s="5">
        <v>46170</v>
      </c>
      <c r="G23" s="5">
        <v>46171</v>
      </c>
      <c r="H23" s="5">
        <v>46171</v>
      </c>
      <c r="I23" s="5">
        <v>46171</v>
      </c>
      <c r="J23" s="5">
        <v>46171</v>
      </c>
      <c r="K23" s="5">
        <v>46172</v>
      </c>
      <c r="L23" s="5">
        <v>46172</v>
      </c>
      <c r="M23" s="5">
        <v>46172</v>
      </c>
      <c r="N23" s="5">
        <v>46174</v>
      </c>
      <c r="O23" s="5">
        <v>46174</v>
      </c>
      <c r="P23" s="5">
        <v>46174</v>
      </c>
      <c r="Q23" s="5">
        <v>46174</v>
      </c>
      <c r="R23" s="5">
        <v>46175</v>
      </c>
      <c r="S23" s="5">
        <v>46175</v>
      </c>
      <c r="T23" s="5">
        <v>46175</v>
      </c>
      <c r="U23" s="5">
        <v>46176</v>
      </c>
      <c r="V23" s="5">
        <v>46176</v>
      </c>
      <c r="W23" s="5">
        <v>46176</v>
      </c>
      <c r="X23" s="5">
        <v>46176</v>
      </c>
      <c r="Y23" s="5">
        <v>46176</v>
      </c>
      <c r="Z23" s="5">
        <v>46176</v>
      </c>
      <c r="AA23" s="5">
        <v>46176</v>
      </c>
      <c r="AB23" s="5">
        <v>46177</v>
      </c>
      <c r="AC23" s="5">
        <v>46178</v>
      </c>
      <c r="AD23" s="5">
        <v>46178</v>
      </c>
      <c r="AE23" s="5">
        <v>46178</v>
      </c>
      <c r="AF23" s="5">
        <v>46179</v>
      </c>
      <c r="AG23" s="5">
        <v>46180</v>
      </c>
      <c r="AH23" s="5">
        <v>46180</v>
      </c>
      <c r="AI23" s="5">
        <v>46180</v>
      </c>
      <c r="AJ23" s="5">
        <v>46180</v>
      </c>
      <c r="AK23" s="5">
        <v>46181</v>
      </c>
      <c r="AL23" s="5">
        <v>46181</v>
      </c>
      <c r="AM23" s="5">
        <v>46181</v>
      </c>
      <c r="AN23" s="5">
        <v>46181</v>
      </c>
      <c r="AO23" s="5">
        <v>46181</v>
      </c>
      <c r="AP23" s="5">
        <v>46182</v>
      </c>
      <c r="AQ23" s="5">
        <v>46182</v>
      </c>
      <c r="AR23" s="5">
        <v>46182</v>
      </c>
      <c r="AS23" s="5">
        <v>46182</v>
      </c>
      <c r="AT23" s="5">
        <v>46182</v>
      </c>
      <c r="AU23" s="5">
        <v>46183</v>
      </c>
      <c r="AV23" s="5">
        <v>46183</v>
      </c>
      <c r="AW23" s="5">
        <v>46183</v>
      </c>
      <c r="AX23" s="5">
        <v>46183</v>
      </c>
      <c r="AY23" s="5">
        <v>46183</v>
      </c>
      <c r="AZ23" s="5">
        <v>46184</v>
      </c>
      <c r="BA23" s="5">
        <v>46184</v>
      </c>
      <c r="BB23" s="5">
        <v>46184</v>
      </c>
      <c r="BC23" s="5">
        <v>46184</v>
      </c>
      <c r="BD23" s="5">
        <v>46184</v>
      </c>
      <c r="BE23" s="5">
        <v>46185</v>
      </c>
      <c r="BF23" s="5">
        <v>46185</v>
      </c>
      <c r="BG23" s="5">
        <v>46185</v>
      </c>
      <c r="BH23" s="5">
        <v>46185</v>
      </c>
      <c r="BI23" s="5">
        <v>46186</v>
      </c>
      <c r="BJ23" s="5">
        <v>46186</v>
      </c>
    </row>
    <row r="24" spans="1:62" x14ac:dyDescent="0.25">
      <c r="A24" s="28">
        <v>816948</v>
      </c>
      <c r="B24" s="28">
        <v>816987</v>
      </c>
      <c r="C24" s="28">
        <v>816998</v>
      </c>
      <c r="D24" s="28">
        <v>817092</v>
      </c>
      <c r="E24" s="28">
        <v>817353</v>
      </c>
      <c r="F24" s="28">
        <v>817441</v>
      </c>
      <c r="G24" s="28">
        <v>817773</v>
      </c>
      <c r="H24" s="28">
        <v>817861</v>
      </c>
      <c r="I24" s="28">
        <v>817943</v>
      </c>
      <c r="J24" s="28">
        <v>817985</v>
      </c>
      <c r="K24" s="28">
        <v>818214</v>
      </c>
      <c r="L24" s="28">
        <v>818254</v>
      </c>
      <c r="M24" s="28">
        <v>818291</v>
      </c>
      <c r="N24" s="28">
        <v>818439</v>
      </c>
      <c r="O24" s="28">
        <v>818580</v>
      </c>
      <c r="P24" s="28">
        <v>818627</v>
      </c>
      <c r="Q24" s="28">
        <v>818667</v>
      </c>
      <c r="R24" s="28">
        <v>818839</v>
      </c>
      <c r="S24" s="28">
        <v>818934</v>
      </c>
      <c r="T24" s="28">
        <v>819019</v>
      </c>
      <c r="U24" s="28">
        <v>819103</v>
      </c>
      <c r="V24" s="28">
        <v>819271</v>
      </c>
      <c r="W24" s="28">
        <v>819315</v>
      </c>
      <c r="X24" s="28">
        <v>819370</v>
      </c>
      <c r="Y24" s="28">
        <v>819445</v>
      </c>
      <c r="Z24" s="28">
        <v>819491</v>
      </c>
      <c r="AA24" s="28">
        <v>819533</v>
      </c>
      <c r="AB24" s="28">
        <v>819706</v>
      </c>
      <c r="AC24" s="28">
        <v>819995</v>
      </c>
      <c r="AD24" s="28">
        <v>820041</v>
      </c>
      <c r="AE24" s="28">
        <v>820088</v>
      </c>
      <c r="AF24" s="28">
        <v>820271</v>
      </c>
      <c r="AG24" s="28">
        <v>820495</v>
      </c>
      <c r="AH24" s="28">
        <v>820568</v>
      </c>
      <c r="AI24" s="28">
        <v>820630</v>
      </c>
      <c r="AJ24" s="28">
        <v>820670</v>
      </c>
      <c r="AK24" s="28">
        <v>820873</v>
      </c>
      <c r="AL24" s="28">
        <v>820921</v>
      </c>
      <c r="AM24" s="28">
        <v>820957</v>
      </c>
      <c r="AN24" s="28">
        <v>821024</v>
      </c>
      <c r="AO24" s="28">
        <v>821060</v>
      </c>
      <c r="AP24" s="28">
        <v>821288</v>
      </c>
      <c r="AQ24" s="28">
        <v>821319</v>
      </c>
      <c r="AR24" s="28">
        <v>821356</v>
      </c>
      <c r="AS24" s="28">
        <v>821451</v>
      </c>
      <c r="AT24" s="28">
        <v>821500</v>
      </c>
      <c r="AU24" s="28">
        <v>821710</v>
      </c>
      <c r="AV24" s="28">
        <v>821754</v>
      </c>
      <c r="AW24" s="28">
        <v>821805</v>
      </c>
      <c r="AX24" s="28">
        <v>821885</v>
      </c>
      <c r="AY24" s="28">
        <v>821931</v>
      </c>
      <c r="AZ24" s="28">
        <v>822143</v>
      </c>
      <c r="BA24" s="28">
        <v>822185</v>
      </c>
      <c r="BB24" s="28">
        <v>822236</v>
      </c>
      <c r="BC24" s="28">
        <v>822306</v>
      </c>
      <c r="BD24" s="28">
        <v>822352</v>
      </c>
      <c r="BE24" s="28">
        <v>822558</v>
      </c>
      <c r="BF24" s="28">
        <v>822647</v>
      </c>
      <c r="BG24" s="28">
        <v>822737</v>
      </c>
      <c r="BH24" s="28">
        <v>822777</v>
      </c>
      <c r="BI24" s="28">
        <v>823003</v>
      </c>
      <c r="BJ24" s="28">
        <v>823082</v>
      </c>
    </row>
    <row r="25" spans="1:62" x14ac:dyDescent="0.25">
      <c r="A25" s="28">
        <v>226.2</v>
      </c>
      <c r="B25" s="28">
        <v>226.2</v>
      </c>
      <c r="C25" s="28">
        <v>226.2</v>
      </c>
      <c r="D25" s="28">
        <v>226.2</v>
      </c>
      <c r="E25" s="28">
        <v>226.2</v>
      </c>
      <c r="F25" s="28">
        <v>226.2</v>
      </c>
      <c r="G25" s="28">
        <v>226.2</v>
      </c>
      <c r="H25" s="28">
        <v>226.2</v>
      </c>
      <c r="I25" s="28">
        <v>226.2</v>
      </c>
      <c r="J25" s="28">
        <v>226.2</v>
      </c>
      <c r="K25" s="28">
        <v>226.2</v>
      </c>
      <c r="L25" s="28">
        <v>226.2</v>
      </c>
      <c r="M25" s="28">
        <v>226.2</v>
      </c>
      <c r="N25" s="28">
        <v>226.2</v>
      </c>
      <c r="O25" s="28">
        <v>226.2</v>
      </c>
      <c r="P25" s="28">
        <v>226.2</v>
      </c>
      <c r="Q25" s="28">
        <v>226.2</v>
      </c>
      <c r="R25" s="28">
        <v>226.2</v>
      </c>
      <c r="S25" s="28">
        <v>226.2</v>
      </c>
      <c r="T25" s="28">
        <v>226.2</v>
      </c>
      <c r="U25" s="28">
        <v>226.2</v>
      </c>
      <c r="V25" s="28">
        <v>226.2</v>
      </c>
      <c r="W25" s="28">
        <v>226.2</v>
      </c>
      <c r="X25" s="28">
        <v>226.2</v>
      </c>
      <c r="Y25" s="28">
        <v>226.2</v>
      </c>
      <c r="Z25" s="28">
        <v>226.2</v>
      </c>
      <c r="AA25" s="28">
        <v>226.2</v>
      </c>
      <c r="AB25" s="28">
        <v>226.2</v>
      </c>
      <c r="AC25" s="28">
        <v>226.2</v>
      </c>
      <c r="AD25" s="28">
        <v>226.2</v>
      </c>
      <c r="AE25" s="28">
        <v>226.2</v>
      </c>
      <c r="AF25" s="28">
        <v>226.2</v>
      </c>
      <c r="AG25" s="28">
        <v>226.2</v>
      </c>
      <c r="AH25" s="28">
        <v>226.2</v>
      </c>
      <c r="AI25" s="28">
        <v>226.2</v>
      </c>
      <c r="AJ25" s="28">
        <v>226.2</v>
      </c>
      <c r="AK25" s="28">
        <v>226.2</v>
      </c>
      <c r="AL25" s="28">
        <v>226.2</v>
      </c>
      <c r="AM25" s="28">
        <v>226.2</v>
      </c>
      <c r="AN25" s="28">
        <v>226.2</v>
      </c>
      <c r="AO25" s="28">
        <v>226.2</v>
      </c>
      <c r="AP25" s="28">
        <v>226.2</v>
      </c>
      <c r="AQ25" s="28">
        <v>226.2</v>
      </c>
      <c r="AR25" s="28">
        <v>226.2</v>
      </c>
      <c r="AS25" s="28">
        <v>226.2</v>
      </c>
      <c r="AT25" s="28">
        <v>226.2</v>
      </c>
      <c r="AU25" s="28">
        <v>226.2</v>
      </c>
      <c r="AV25" s="28">
        <v>226.2</v>
      </c>
      <c r="AW25" s="28">
        <v>226.2</v>
      </c>
      <c r="AX25" s="28">
        <v>226.2</v>
      </c>
      <c r="AY25" s="28">
        <v>226.2</v>
      </c>
      <c r="AZ25" s="28">
        <v>226.2</v>
      </c>
      <c r="BA25" s="28">
        <v>226.2</v>
      </c>
      <c r="BB25" s="28">
        <v>226.2</v>
      </c>
      <c r="BC25" s="28">
        <v>226.2</v>
      </c>
      <c r="BD25" s="28">
        <v>226.2</v>
      </c>
      <c r="BE25" s="28">
        <v>226.2</v>
      </c>
      <c r="BF25" s="28">
        <v>226.2</v>
      </c>
      <c r="BG25" s="28">
        <v>226.2</v>
      </c>
      <c r="BH25" s="28">
        <v>226.2</v>
      </c>
      <c r="BI25" s="28">
        <v>226.2</v>
      </c>
      <c r="BJ25" s="28">
        <v>226.2</v>
      </c>
    </row>
    <row r="26" spans="1:62" x14ac:dyDescent="0.25">
      <c r="A26" s="28">
        <v>223.2</v>
      </c>
      <c r="B26" s="28">
        <v>223.2</v>
      </c>
      <c r="C26" s="28">
        <v>223.2</v>
      </c>
      <c r="D26" s="28">
        <v>223.2</v>
      </c>
      <c r="E26" s="28">
        <v>223.2</v>
      </c>
      <c r="F26" s="28">
        <v>223.2</v>
      </c>
      <c r="G26" s="28">
        <v>223.2</v>
      </c>
      <c r="H26" s="28">
        <v>223.2</v>
      </c>
      <c r="I26" s="28">
        <v>223.2</v>
      </c>
      <c r="J26" s="28">
        <v>223.2</v>
      </c>
      <c r="K26" s="28">
        <v>223.2</v>
      </c>
      <c r="L26" s="28">
        <v>223.2</v>
      </c>
      <c r="M26" s="28">
        <v>223.2</v>
      </c>
      <c r="N26" s="28">
        <v>223.2</v>
      </c>
      <c r="O26" s="28">
        <v>223.2</v>
      </c>
      <c r="P26" s="28">
        <v>223.2</v>
      </c>
      <c r="Q26" s="28">
        <v>223.2</v>
      </c>
      <c r="R26" s="28">
        <v>223.2</v>
      </c>
      <c r="S26" s="28">
        <v>223.2</v>
      </c>
      <c r="T26" s="28">
        <v>223.2</v>
      </c>
      <c r="U26" s="28">
        <v>223.2</v>
      </c>
      <c r="V26" s="28">
        <v>223.2</v>
      </c>
      <c r="W26" s="28">
        <v>223.2</v>
      </c>
      <c r="X26" s="28">
        <v>223.2</v>
      </c>
      <c r="Y26" s="28">
        <v>223.2</v>
      </c>
      <c r="Z26" s="28">
        <v>223.2</v>
      </c>
      <c r="AA26" s="28">
        <v>223.2</v>
      </c>
      <c r="AB26" s="28">
        <v>223.2</v>
      </c>
      <c r="AC26" s="28">
        <v>223.2</v>
      </c>
      <c r="AD26" s="28">
        <v>223.2</v>
      </c>
      <c r="AE26" s="28">
        <v>223.2</v>
      </c>
      <c r="AF26" s="28">
        <v>223.2</v>
      </c>
      <c r="AG26" s="28">
        <v>223.2</v>
      </c>
      <c r="AH26" s="28">
        <v>223.2</v>
      </c>
      <c r="AI26" s="28">
        <v>223.2</v>
      </c>
      <c r="AJ26" s="28">
        <v>223.2</v>
      </c>
      <c r="AK26" s="28">
        <v>223.2</v>
      </c>
      <c r="AL26" s="28">
        <v>223.2</v>
      </c>
      <c r="AM26" s="28">
        <v>223.2</v>
      </c>
      <c r="AN26" s="28">
        <v>223.2</v>
      </c>
      <c r="AO26" s="28">
        <v>223.2</v>
      </c>
      <c r="AP26" s="28">
        <v>223.2</v>
      </c>
      <c r="AQ26" s="28">
        <v>223.2</v>
      </c>
      <c r="AR26" s="28">
        <v>223.2</v>
      </c>
      <c r="AS26" s="28">
        <v>223.2</v>
      </c>
      <c r="AT26" s="28">
        <v>223.2</v>
      </c>
      <c r="AU26" s="28">
        <v>223.2</v>
      </c>
      <c r="AV26" s="28">
        <v>223.2</v>
      </c>
      <c r="AW26" s="28">
        <v>223.2</v>
      </c>
      <c r="AX26" s="28">
        <v>223.2</v>
      </c>
      <c r="AY26" s="28">
        <v>223.2</v>
      </c>
      <c r="AZ26" s="28">
        <v>223.2</v>
      </c>
      <c r="BA26" s="28">
        <v>223.2</v>
      </c>
      <c r="BB26" s="28">
        <v>223.2</v>
      </c>
      <c r="BC26" s="28">
        <v>223.2</v>
      </c>
      <c r="BD26" s="28">
        <v>223.2</v>
      </c>
      <c r="BE26" s="28">
        <v>223.2</v>
      </c>
      <c r="BF26" s="28">
        <v>223.2</v>
      </c>
      <c r="BG26" s="28">
        <v>223.2</v>
      </c>
      <c r="BH26" s="28">
        <v>223.2</v>
      </c>
      <c r="BI26" s="28">
        <v>223.2</v>
      </c>
      <c r="BJ26" s="28">
        <v>223.2</v>
      </c>
    </row>
    <row r="27" spans="1:62" x14ac:dyDescent="0.25">
      <c r="A27" s="28">
        <v>229.2</v>
      </c>
      <c r="B27" s="28">
        <v>229.2</v>
      </c>
      <c r="C27" s="28">
        <v>229.2</v>
      </c>
      <c r="D27" s="28">
        <v>229.2</v>
      </c>
      <c r="E27" s="28">
        <v>229.2</v>
      </c>
      <c r="F27" s="28">
        <v>229.2</v>
      </c>
      <c r="G27" s="28">
        <v>229.2</v>
      </c>
      <c r="H27" s="28">
        <v>229.2</v>
      </c>
      <c r="I27" s="28">
        <v>229.2</v>
      </c>
      <c r="J27" s="28">
        <v>229.2</v>
      </c>
      <c r="K27" s="28">
        <v>229.2</v>
      </c>
      <c r="L27" s="28">
        <v>229.2</v>
      </c>
      <c r="M27" s="28">
        <v>229.2</v>
      </c>
      <c r="N27" s="28">
        <v>229.2</v>
      </c>
      <c r="O27" s="28">
        <v>229.2</v>
      </c>
      <c r="P27" s="28">
        <v>229.2</v>
      </c>
      <c r="Q27" s="28">
        <v>229.2</v>
      </c>
      <c r="R27" s="28">
        <v>229.2</v>
      </c>
      <c r="S27" s="28">
        <v>229.2</v>
      </c>
      <c r="T27" s="28">
        <v>229.2</v>
      </c>
      <c r="U27" s="28">
        <v>229.2</v>
      </c>
      <c r="V27" s="28">
        <v>229.2</v>
      </c>
      <c r="W27" s="28">
        <v>229.2</v>
      </c>
      <c r="X27" s="28">
        <v>229.2</v>
      </c>
      <c r="Y27" s="28">
        <v>229.2</v>
      </c>
      <c r="Z27" s="28">
        <v>229.2</v>
      </c>
      <c r="AA27" s="28">
        <v>229.2</v>
      </c>
      <c r="AB27" s="28">
        <v>229.2</v>
      </c>
      <c r="AC27" s="28">
        <v>229.2</v>
      </c>
      <c r="AD27" s="28">
        <v>229.2</v>
      </c>
      <c r="AE27" s="28">
        <v>229.2</v>
      </c>
      <c r="AF27" s="28">
        <v>229.2</v>
      </c>
      <c r="AG27" s="28">
        <v>229.2</v>
      </c>
      <c r="AH27" s="28">
        <v>229.2</v>
      </c>
      <c r="AI27" s="28">
        <v>229.2</v>
      </c>
      <c r="AJ27" s="28">
        <v>229.2</v>
      </c>
      <c r="AK27" s="28">
        <v>229.2</v>
      </c>
      <c r="AL27" s="28">
        <v>229.2</v>
      </c>
      <c r="AM27" s="28">
        <v>229.2</v>
      </c>
      <c r="AN27" s="28">
        <v>229.2</v>
      </c>
      <c r="AO27" s="28">
        <v>229.2</v>
      </c>
      <c r="AP27" s="28">
        <v>229.2</v>
      </c>
      <c r="AQ27" s="28">
        <v>229.2</v>
      </c>
      <c r="AR27" s="28">
        <v>229.2</v>
      </c>
      <c r="AS27" s="28">
        <v>229.2</v>
      </c>
      <c r="AT27" s="28">
        <v>229.2</v>
      </c>
      <c r="AU27" s="28">
        <v>229.2</v>
      </c>
      <c r="AV27" s="28">
        <v>229.2</v>
      </c>
      <c r="AW27" s="28">
        <v>229.2</v>
      </c>
      <c r="AX27" s="28">
        <v>229.2</v>
      </c>
      <c r="AY27" s="28">
        <v>229.2</v>
      </c>
      <c r="AZ27" s="28">
        <v>229.2</v>
      </c>
      <c r="BA27" s="28">
        <v>229.2</v>
      </c>
      <c r="BB27" s="28">
        <v>229.2</v>
      </c>
      <c r="BC27" s="28">
        <v>229.2</v>
      </c>
      <c r="BD27" s="28">
        <v>229.2</v>
      </c>
      <c r="BE27" s="28">
        <v>229.2</v>
      </c>
      <c r="BF27" s="28">
        <v>229.2</v>
      </c>
      <c r="BG27" s="28">
        <v>229.2</v>
      </c>
      <c r="BH27" s="28">
        <v>229.2</v>
      </c>
      <c r="BI27" s="28">
        <v>229.2</v>
      </c>
      <c r="BJ27" s="28">
        <v>229.2</v>
      </c>
    </row>
    <row r="28" spans="1:62" x14ac:dyDescent="0.25">
      <c r="A28" s="28">
        <v>225.94</v>
      </c>
      <c r="B28" s="28">
        <v>226.49</v>
      </c>
      <c r="C28" s="28">
        <v>226.41</v>
      </c>
      <c r="D28" s="28">
        <v>226.7</v>
      </c>
      <c r="E28" s="28">
        <v>226.3</v>
      </c>
      <c r="F28" s="28">
        <v>227.2</v>
      </c>
      <c r="G28" s="28">
        <v>226.1</v>
      </c>
      <c r="H28" s="28">
        <v>227.8</v>
      </c>
      <c r="I28" s="28">
        <v>227.8</v>
      </c>
      <c r="J28" s="28">
        <v>227.24</v>
      </c>
      <c r="K28" s="28">
        <v>226.15</v>
      </c>
      <c r="L28" s="28">
        <v>227.81</v>
      </c>
      <c r="M28" s="28">
        <v>227.1</v>
      </c>
      <c r="N28" s="28">
        <v>226.61</v>
      </c>
      <c r="O28" s="28">
        <v>226.48</v>
      </c>
      <c r="P28" s="28">
        <v>226.9</v>
      </c>
      <c r="Q28" s="28">
        <v>226.54</v>
      </c>
      <c r="R28" s="28">
        <v>226.12</v>
      </c>
      <c r="S28" s="28">
        <v>226.7</v>
      </c>
      <c r="T28" s="28">
        <v>226.9</v>
      </c>
      <c r="U28" s="28">
        <v>227</v>
      </c>
      <c r="V28" s="28">
        <v>225.38</v>
      </c>
      <c r="W28" s="28">
        <v>227.4</v>
      </c>
      <c r="X28" s="28">
        <v>226.2</v>
      </c>
      <c r="Y28" s="28">
        <v>226.9</v>
      </c>
      <c r="Z28" s="28">
        <v>227.18</v>
      </c>
      <c r="AA28" s="28">
        <v>226.75</v>
      </c>
      <c r="AB28" s="28">
        <v>225.68</v>
      </c>
      <c r="AC28" s="28">
        <v>226.95</v>
      </c>
      <c r="AD28" s="28">
        <v>227.18</v>
      </c>
      <c r="AE28" s="28">
        <v>227.2</v>
      </c>
      <c r="AF28" s="28">
        <v>226.32</v>
      </c>
      <c r="AG28" s="28">
        <v>227.29</v>
      </c>
      <c r="AH28" s="28">
        <v>227.17</v>
      </c>
      <c r="AI28" s="28">
        <v>227.3</v>
      </c>
      <c r="AJ28" s="28">
        <v>227.84</v>
      </c>
      <c r="AK28" s="28">
        <v>226.27</v>
      </c>
      <c r="AL28" s="28">
        <v>226.44</v>
      </c>
      <c r="AM28" s="28">
        <v>226.54</v>
      </c>
      <c r="AN28" s="28">
        <v>226.75</v>
      </c>
      <c r="AO28" s="28">
        <v>226.19</v>
      </c>
      <c r="AP28" s="28">
        <v>226.74</v>
      </c>
      <c r="AQ28" s="28">
        <v>226.97</v>
      </c>
      <c r="AR28" s="28">
        <v>227.51</v>
      </c>
      <c r="AS28" s="28">
        <v>227.44</v>
      </c>
      <c r="AT28" s="28">
        <v>227.1</v>
      </c>
      <c r="AU28" s="28">
        <v>226.53</v>
      </c>
      <c r="AV28" s="28">
        <v>227.31</v>
      </c>
      <c r="AW28" s="28">
        <v>227.08</v>
      </c>
      <c r="AX28" s="28">
        <v>227.47</v>
      </c>
      <c r="AY28" s="28">
        <v>227.25</v>
      </c>
      <c r="AZ28" s="28">
        <v>227.04</v>
      </c>
      <c r="BA28" s="28">
        <v>227.77</v>
      </c>
      <c r="BB28" s="28">
        <v>226.93</v>
      </c>
      <c r="BC28" s="28">
        <v>227.93</v>
      </c>
      <c r="BD28" s="28">
        <v>227.85</v>
      </c>
      <c r="BE28" s="28">
        <v>226.42</v>
      </c>
      <c r="BF28" s="28">
        <v>227.4</v>
      </c>
      <c r="BG28" s="28">
        <v>227.75</v>
      </c>
      <c r="BH28" s="28">
        <v>227.06</v>
      </c>
      <c r="BI28" s="28">
        <v>225.91</v>
      </c>
      <c r="BJ28" s="28">
        <v>226.98</v>
      </c>
    </row>
    <row r="29" spans="1:62" x14ac:dyDescent="0.25">
      <c r="A29" s="28" t="s">
        <v>30</v>
      </c>
      <c r="B29" s="28" t="s">
        <v>31</v>
      </c>
      <c r="C29" s="28" t="s">
        <v>32</v>
      </c>
      <c r="D29" s="28" t="s">
        <v>33</v>
      </c>
      <c r="E29" s="28" t="s">
        <v>40</v>
      </c>
      <c r="F29" s="28" t="s">
        <v>41</v>
      </c>
      <c r="G29" s="28" t="s">
        <v>18</v>
      </c>
      <c r="H29" s="28">
        <v>62</v>
      </c>
    </row>
    <row r="30" spans="1:62" x14ac:dyDescent="0.25">
      <c r="A30" s="5">
        <v>46169</v>
      </c>
      <c r="B30" s="5">
        <v>46169</v>
      </c>
      <c r="C30" s="5">
        <v>46169</v>
      </c>
      <c r="D30" s="5">
        <v>46169</v>
      </c>
      <c r="E30" s="5">
        <v>46170</v>
      </c>
      <c r="F30" s="5">
        <v>46170</v>
      </c>
      <c r="G30" s="5">
        <v>46171</v>
      </c>
      <c r="H30" s="5">
        <v>46171</v>
      </c>
      <c r="I30" s="5">
        <v>46171</v>
      </c>
      <c r="J30" s="5">
        <v>46171</v>
      </c>
      <c r="K30" s="5">
        <v>46172</v>
      </c>
      <c r="L30" s="5">
        <v>46172</v>
      </c>
      <c r="M30" s="5">
        <v>46172</v>
      </c>
      <c r="N30" s="5">
        <v>46174</v>
      </c>
      <c r="O30" s="5">
        <v>46174</v>
      </c>
      <c r="P30" s="5">
        <v>46174</v>
      </c>
      <c r="Q30" s="5">
        <v>46174</v>
      </c>
      <c r="R30" s="5">
        <v>46175</v>
      </c>
      <c r="S30" s="5">
        <v>46175</v>
      </c>
      <c r="T30" s="5">
        <v>46175</v>
      </c>
      <c r="U30" s="5">
        <v>46176</v>
      </c>
      <c r="V30" s="5">
        <v>46176</v>
      </c>
      <c r="W30" s="5">
        <v>46176</v>
      </c>
      <c r="X30" s="5">
        <v>46176</v>
      </c>
      <c r="Y30" s="5">
        <v>46176</v>
      </c>
      <c r="Z30" s="5">
        <v>46176</v>
      </c>
      <c r="AA30" s="5">
        <v>46176</v>
      </c>
      <c r="AB30" s="5">
        <v>46177</v>
      </c>
      <c r="AC30" s="5">
        <v>46178</v>
      </c>
      <c r="AD30" s="5">
        <v>46178</v>
      </c>
      <c r="AE30" s="5">
        <v>46178</v>
      </c>
      <c r="AF30" s="5">
        <v>46179</v>
      </c>
      <c r="AG30" s="5">
        <v>46180</v>
      </c>
      <c r="AH30" s="5">
        <v>46180</v>
      </c>
      <c r="AI30" s="5">
        <v>46180</v>
      </c>
      <c r="AJ30" s="5">
        <v>46180</v>
      </c>
      <c r="AK30" s="5">
        <v>46181</v>
      </c>
      <c r="AL30" s="5">
        <v>46181</v>
      </c>
      <c r="AM30" s="5">
        <v>46181</v>
      </c>
      <c r="AN30" s="5">
        <v>46181</v>
      </c>
      <c r="AO30" s="5">
        <v>46181</v>
      </c>
      <c r="AP30" s="5">
        <v>46182</v>
      </c>
      <c r="AQ30" s="5">
        <v>46182</v>
      </c>
      <c r="AR30" s="5">
        <v>46182</v>
      </c>
      <c r="AS30" s="5">
        <v>46182</v>
      </c>
      <c r="AT30" s="5">
        <v>46182</v>
      </c>
      <c r="AU30" s="5">
        <v>46183</v>
      </c>
      <c r="AV30" s="5">
        <v>46183</v>
      </c>
      <c r="AW30" s="5">
        <v>46183</v>
      </c>
      <c r="AX30" s="5">
        <v>46183</v>
      </c>
      <c r="AY30" s="5">
        <v>46183</v>
      </c>
      <c r="AZ30" s="5">
        <v>46184</v>
      </c>
      <c r="BA30" s="5">
        <v>46184</v>
      </c>
      <c r="BB30" s="5">
        <v>46184</v>
      </c>
      <c r="BC30" s="5">
        <v>46184</v>
      </c>
      <c r="BD30" s="5">
        <v>46184</v>
      </c>
      <c r="BE30" s="5">
        <v>46185</v>
      </c>
      <c r="BF30" s="5">
        <v>46185</v>
      </c>
      <c r="BG30" s="5">
        <v>46185</v>
      </c>
      <c r="BH30" s="5">
        <v>46185</v>
      </c>
      <c r="BI30" s="5">
        <v>46186</v>
      </c>
      <c r="BJ30" s="5">
        <v>46186</v>
      </c>
    </row>
    <row r="31" spans="1:62" x14ac:dyDescent="0.25">
      <c r="A31" s="28">
        <v>816948</v>
      </c>
      <c r="B31" s="28">
        <v>816987</v>
      </c>
      <c r="C31" s="28">
        <v>816998</v>
      </c>
      <c r="D31" s="28">
        <v>817092</v>
      </c>
      <c r="E31" s="28">
        <v>817353</v>
      </c>
      <c r="F31" s="28">
        <v>817441</v>
      </c>
      <c r="G31" s="28">
        <v>817773</v>
      </c>
      <c r="H31" s="28">
        <v>817861</v>
      </c>
      <c r="I31" s="28">
        <v>817943</v>
      </c>
      <c r="J31" s="28">
        <v>817985</v>
      </c>
      <c r="K31" s="28">
        <v>818214</v>
      </c>
      <c r="L31" s="28">
        <v>818254</v>
      </c>
      <c r="M31" s="28">
        <v>818291</v>
      </c>
      <c r="N31" s="28">
        <v>818439</v>
      </c>
      <c r="O31" s="28">
        <v>818580</v>
      </c>
      <c r="P31" s="28">
        <v>818627</v>
      </c>
      <c r="Q31" s="28">
        <v>818667</v>
      </c>
      <c r="R31" s="28">
        <v>818839</v>
      </c>
      <c r="S31" s="28">
        <v>818934</v>
      </c>
      <c r="T31" s="28">
        <v>819019</v>
      </c>
      <c r="U31" s="28">
        <v>819103</v>
      </c>
      <c r="V31" s="28">
        <v>819271</v>
      </c>
      <c r="W31" s="28">
        <v>819315</v>
      </c>
      <c r="X31" s="28">
        <v>819370</v>
      </c>
      <c r="Y31" s="28">
        <v>819445</v>
      </c>
      <c r="Z31" s="28">
        <v>819491</v>
      </c>
      <c r="AA31" s="28">
        <v>819533</v>
      </c>
      <c r="AB31" s="28">
        <v>819706</v>
      </c>
      <c r="AC31" s="28">
        <v>819995</v>
      </c>
      <c r="AD31" s="28">
        <v>820041</v>
      </c>
      <c r="AE31" s="28">
        <v>820088</v>
      </c>
      <c r="AF31" s="28">
        <v>820271</v>
      </c>
      <c r="AG31" s="28">
        <v>820495</v>
      </c>
      <c r="AH31" s="28">
        <v>820568</v>
      </c>
      <c r="AI31" s="28">
        <v>820630</v>
      </c>
      <c r="AJ31" s="28">
        <v>820670</v>
      </c>
      <c r="AK31" s="28">
        <v>820873</v>
      </c>
      <c r="AL31" s="28">
        <v>820921</v>
      </c>
      <c r="AM31" s="28">
        <v>820957</v>
      </c>
      <c r="AN31" s="28">
        <v>821024</v>
      </c>
      <c r="AO31" s="28">
        <v>821060</v>
      </c>
      <c r="AP31" s="28">
        <v>821288</v>
      </c>
      <c r="AQ31" s="28">
        <v>821319</v>
      </c>
      <c r="AR31" s="28">
        <v>821356</v>
      </c>
      <c r="AS31" s="28">
        <v>821451</v>
      </c>
      <c r="AT31" s="28">
        <v>821500</v>
      </c>
      <c r="AU31" s="28">
        <v>821710</v>
      </c>
      <c r="AV31" s="28">
        <v>821754</v>
      </c>
      <c r="AW31" s="28">
        <v>821805</v>
      </c>
      <c r="AX31" s="28">
        <v>821885</v>
      </c>
      <c r="AY31" s="28">
        <v>821931</v>
      </c>
      <c r="AZ31" s="28">
        <v>822143</v>
      </c>
      <c r="BA31" s="28">
        <v>822185</v>
      </c>
      <c r="BB31" s="28">
        <v>822236</v>
      </c>
      <c r="BC31" s="28">
        <v>822306</v>
      </c>
      <c r="BD31" s="28">
        <v>822352</v>
      </c>
      <c r="BE31" s="28">
        <v>822558</v>
      </c>
      <c r="BF31" s="28">
        <v>822647</v>
      </c>
      <c r="BG31" s="28">
        <v>822737</v>
      </c>
      <c r="BH31" s="28">
        <v>822777</v>
      </c>
      <c r="BI31" s="28">
        <v>823003</v>
      </c>
      <c r="BJ31" s="28">
        <v>823082</v>
      </c>
    </row>
    <row r="32" spans="1:62" x14ac:dyDescent="0.25">
      <c r="A32" s="28">
        <v>326</v>
      </c>
      <c r="B32" s="28">
        <v>326</v>
      </c>
      <c r="C32" s="28">
        <v>326</v>
      </c>
      <c r="D32" s="28">
        <v>326</v>
      </c>
      <c r="E32" s="28">
        <v>326</v>
      </c>
      <c r="F32" s="28">
        <v>326</v>
      </c>
      <c r="G32" s="28">
        <v>326</v>
      </c>
      <c r="H32" s="28">
        <v>326</v>
      </c>
      <c r="I32" s="28">
        <v>326</v>
      </c>
      <c r="J32" s="28">
        <v>326</v>
      </c>
      <c r="K32" s="28">
        <v>326</v>
      </c>
      <c r="L32" s="28">
        <v>326</v>
      </c>
      <c r="M32" s="28">
        <v>326</v>
      </c>
      <c r="N32" s="28">
        <v>326</v>
      </c>
      <c r="O32" s="28">
        <v>326</v>
      </c>
      <c r="P32" s="28">
        <v>326</v>
      </c>
      <c r="Q32" s="28">
        <v>326</v>
      </c>
      <c r="R32" s="28">
        <v>326</v>
      </c>
      <c r="S32" s="28">
        <v>326</v>
      </c>
      <c r="T32" s="28">
        <v>326</v>
      </c>
      <c r="U32" s="28">
        <v>326</v>
      </c>
      <c r="V32" s="28">
        <v>326</v>
      </c>
      <c r="W32" s="28">
        <v>326</v>
      </c>
      <c r="X32" s="28">
        <v>326</v>
      </c>
      <c r="Y32" s="28">
        <v>326</v>
      </c>
      <c r="Z32" s="28">
        <v>326</v>
      </c>
      <c r="AA32" s="28">
        <v>326</v>
      </c>
      <c r="AB32" s="28">
        <v>326</v>
      </c>
      <c r="AC32" s="28">
        <v>326</v>
      </c>
      <c r="AD32" s="28">
        <v>326</v>
      </c>
      <c r="AE32" s="28">
        <v>326</v>
      </c>
      <c r="AF32" s="28">
        <v>326</v>
      </c>
      <c r="AG32" s="28">
        <v>326</v>
      </c>
      <c r="AH32" s="28">
        <v>326</v>
      </c>
      <c r="AI32" s="28">
        <v>326</v>
      </c>
      <c r="AJ32" s="28">
        <v>326</v>
      </c>
      <c r="AK32" s="28">
        <v>326</v>
      </c>
      <c r="AL32" s="28">
        <v>326</v>
      </c>
      <c r="AM32" s="28">
        <v>326</v>
      </c>
      <c r="AN32" s="28">
        <v>326</v>
      </c>
      <c r="AO32" s="28">
        <v>326</v>
      </c>
      <c r="AP32" s="28">
        <v>326</v>
      </c>
      <c r="AQ32" s="28">
        <v>326</v>
      </c>
      <c r="AR32" s="28">
        <v>326</v>
      </c>
      <c r="AS32" s="28">
        <v>326</v>
      </c>
      <c r="AT32" s="28">
        <v>326</v>
      </c>
      <c r="AU32" s="28">
        <v>326</v>
      </c>
      <c r="AV32" s="28">
        <v>326</v>
      </c>
      <c r="AW32" s="28">
        <v>326</v>
      </c>
      <c r="AX32" s="28">
        <v>326</v>
      </c>
      <c r="AY32" s="28">
        <v>326</v>
      </c>
      <c r="AZ32" s="28">
        <v>326</v>
      </c>
      <c r="BA32" s="28">
        <v>326</v>
      </c>
      <c r="BB32" s="28">
        <v>326</v>
      </c>
      <c r="BC32" s="28">
        <v>326</v>
      </c>
      <c r="BD32" s="28">
        <v>326</v>
      </c>
      <c r="BE32" s="28">
        <v>326</v>
      </c>
      <c r="BF32" s="28">
        <v>326</v>
      </c>
      <c r="BG32" s="28">
        <v>326</v>
      </c>
      <c r="BH32" s="28">
        <v>326</v>
      </c>
      <c r="BI32" s="28">
        <v>326</v>
      </c>
      <c r="BJ32" s="28">
        <v>326</v>
      </c>
    </row>
    <row r="33" spans="1:62" x14ac:dyDescent="0.25">
      <c r="A33" s="28">
        <v>323</v>
      </c>
      <c r="B33" s="28">
        <v>323</v>
      </c>
      <c r="C33" s="28">
        <v>323</v>
      </c>
      <c r="D33" s="28">
        <v>323</v>
      </c>
      <c r="E33" s="28">
        <v>323</v>
      </c>
      <c r="F33" s="28">
        <v>323</v>
      </c>
      <c r="G33" s="28">
        <v>323</v>
      </c>
      <c r="H33" s="28">
        <v>323</v>
      </c>
      <c r="I33" s="28">
        <v>323</v>
      </c>
      <c r="J33" s="28">
        <v>323</v>
      </c>
      <c r="K33" s="28">
        <v>323</v>
      </c>
      <c r="L33" s="28">
        <v>323</v>
      </c>
      <c r="M33" s="28">
        <v>323</v>
      </c>
      <c r="N33" s="28">
        <v>323</v>
      </c>
      <c r="O33" s="28">
        <v>323</v>
      </c>
      <c r="P33" s="28">
        <v>323</v>
      </c>
      <c r="Q33" s="28">
        <v>323</v>
      </c>
      <c r="R33" s="28">
        <v>323</v>
      </c>
      <c r="S33" s="28">
        <v>323</v>
      </c>
      <c r="T33" s="28">
        <v>323</v>
      </c>
      <c r="U33" s="28">
        <v>323</v>
      </c>
      <c r="V33" s="28">
        <v>323</v>
      </c>
      <c r="W33" s="28">
        <v>323</v>
      </c>
      <c r="X33" s="28">
        <v>323</v>
      </c>
      <c r="Y33" s="28">
        <v>323</v>
      </c>
      <c r="Z33" s="28">
        <v>323</v>
      </c>
      <c r="AA33" s="28">
        <v>323</v>
      </c>
      <c r="AB33" s="28">
        <v>323</v>
      </c>
      <c r="AC33" s="28">
        <v>323</v>
      </c>
      <c r="AD33" s="28">
        <v>323</v>
      </c>
      <c r="AE33" s="28">
        <v>323</v>
      </c>
      <c r="AF33" s="28">
        <v>323</v>
      </c>
      <c r="AG33" s="28">
        <v>323</v>
      </c>
      <c r="AH33" s="28">
        <v>323</v>
      </c>
      <c r="AI33" s="28">
        <v>323</v>
      </c>
      <c r="AJ33" s="28">
        <v>323</v>
      </c>
      <c r="AK33" s="28">
        <v>323</v>
      </c>
      <c r="AL33" s="28">
        <v>323</v>
      </c>
      <c r="AM33" s="28">
        <v>323</v>
      </c>
      <c r="AN33" s="28">
        <v>323</v>
      </c>
      <c r="AO33" s="28">
        <v>323</v>
      </c>
      <c r="AP33" s="28">
        <v>323</v>
      </c>
      <c r="AQ33" s="28">
        <v>323</v>
      </c>
      <c r="AR33" s="28">
        <v>323</v>
      </c>
      <c r="AS33" s="28">
        <v>323</v>
      </c>
      <c r="AT33" s="28">
        <v>323</v>
      </c>
      <c r="AU33" s="28">
        <v>323</v>
      </c>
      <c r="AV33" s="28">
        <v>323</v>
      </c>
      <c r="AW33" s="28">
        <v>323</v>
      </c>
      <c r="AX33" s="28">
        <v>323</v>
      </c>
      <c r="AY33" s="28">
        <v>323</v>
      </c>
      <c r="AZ33" s="28">
        <v>323</v>
      </c>
      <c r="BA33" s="28">
        <v>323</v>
      </c>
      <c r="BB33" s="28">
        <v>323</v>
      </c>
      <c r="BC33" s="28">
        <v>323</v>
      </c>
      <c r="BD33" s="28">
        <v>323</v>
      </c>
      <c r="BE33" s="28">
        <v>323</v>
      </c>
      <c r="BF33" s="28">
        <v>323</v>
      </c>
      <c r="BG33" s="28">
        <v>323</v>
      </c>
      <c r="BH33" s="28">
        <v>323</v>
      </c>
      <c r="BI33" s="28">
        <v>323</v>
      </c>
      <c r="BJ33" s="28">
        <v>323</v>
      </c>
    </row>
    <row r="34" spans="1:62" x14ac:dyDescent="0.25">
      <c r="A34" s="28">
        <v>329</v>
      </c>
      <c r="B34" s="28">
        <v>329</v>
      </c>
      <c r="C34" s="28">
        <v>329</v>
      </c>
      <c r="D34" s="28">
        <v>329</v>
      </c>
      <c r="E34" s="28">
        <v>329</v>
      </c>
      <c r="F34" s="28">
        <v>329</v>
      </c>
      <c r="G34" s="28">
        <v>329</v>
      </c>
      <c r="H34" s="28">
        <v>329</v>
      </c>
      <c r="I34" s="28">
        <v>329</v>
      </c>
      <c r="J34" s="28">
        <v>329</v>
      </c>
      <c r="K34" s="28">
        <v>329</v>
      </c>
      <c r="L34" s="28">
        <v>329</v>
      </c>
      <c r="M34" s="28">
        <v>329</v>
      </c>
      <c r="N34" s="28">
        <v>329</v>
      </c>
      <c r="O34" s="28">
        <v>329</v>
      </c>
      <c r="P34" s="28">
        <v>329</v>
      </c>
      <c r="Q34" s="28">
        <v>329</v>
      </c>
      <c r="R34" s="28">
        <v>329</v>
      </c>
      <c r="S34" s="28">
        <v>329</v>
      </c>
      <c r="T34" s="28">
        <v>329</v>
      </c>
      <c r="U34" s="28">
        <v>329</v>
      </c>
      <c r="V34" s="28">
        <v>329</v>
      </c>
      <c r="W34" s="28">
        <v>329</v>
      </c>
      <c r="X34" s="28">
        <v>329</v>
      </c>
      <c r="Y34" s="28">
        <v>329</v>
      </c>
      <c r="Z34" s="28">
        <v>329</v>
      </c>
      <c r="AA34" s="28">
        <v>329</v>
      </c>
      <c r="AB34" s="28">
        <v>329</v>
      </c>
      <c r="AC34" s="28">
        <v>329</v>
      </c>
      <c r="AD34" s="28">
        <v>329</v>
      </c>
      <c r="AE34" s="28">
        <v>329</v>
      </c>
      <c r="AF34" s="28">
        <v>329</v>
      </c>
      <c r="AG34" s="28">
        <v>329</v>
      </c>
      <c r="AH34" s="28">
        <v>329</v>
      </c>
      <c r="AI34" s="28">
        <v>329</v>
      </c>
      <c r="AJ34" s="28">
        <v>329</v>
      </c>
      <c r="AK34" s="28">
        <v>329</v>
      </c>
      <c r="AL34" s="28">
        <v>329</v>
      </c>
      <c r="AM34" s="28">
        <v>329</v>
      </c>
      <c r="AN34" s="28">
        <v>329</v>
      </c>
      <c r="AO34" s="28">
        <v>329</v>
      </c>
      <c r="AP34" s="28">
        <v>329</v>
      </c>
      <c r="AQ34" s="28">
        <v>329</v>
      </c>
      <c r="AR34" s="28">
        <v>329</v>
      </c>
      <c r="AS34" s="28">
        <v>329</v>
      </c>
      <c r="AT34" s="28">
        <v>329</v>
      </c>
      <c r="AU34" s="28">
        <v>329</v>
      </c>
      <c r="AV34" s="28">
        <v>329</v>
      </c>
      <c r="AW34" s="28">
        <v>329</v>
      </c>
      <c r="AX34" s="28">
        <v>329</v>
      </c>
      <c r="AY34" s="28">
        <v>329</v>
      </c>
      <c r="AZ34" s="28">
        <v>329</v>
      </c>
      <c r="BA34" s="28">
        <v>329</v>
      </c>
      <c r="BB34" s="28">
        <v>329</v>
      </c>
      <c r="BC34" s="28">
        <v>329</v>
      </c>
      <c r="BD34" s="28">
        <v>329</v>
      </c>
      <c r="BE34" s="28">
        <v>329</v>
      </c>
      <c r="BF34" s="28">
        <v>329</v>
      </c>
      <c r="BG34" s="28">
        <v>329</v>
      </c>
      <c r="BH34" s="28">
        <v>329</v>
      </c>
      <c r="BI34" s="28">
        <v>329</v>
      </c>
      <c r="BJ34" s="28">
        <v>329</v>
      </c>
    </row>
    <row r="35" spans="1:62" x14ac:dyDescent="0.25">
      <c r="A35" s="28">
        <v>327.91</v>
      </c>
      <c r="B35" s="28">
        <v>326.58</v>
      </c>
      <c r="C35" s="28">
        <v>327.56</v>
      </c>
      <c r="D35" s="28">
        <v>327.60000000000002</v>
      </c>
      <c r="E35" s="28">
        <v>327</v>
      </c>
      <c r="F35" s="28">
        <v>326.89999999999998</v>
      </c>
      <c r="G35" s="28">
        <v>328</v>
      </c>
      <c r="H35" s="28">
        <v>327.2</v>
      </c>
      <c r="I35" s="28">
        <v>327.9</v>
      </c>
      <c r="J35" s="28">
        <v>328.87</v>
      </c>
      <c r="K35" s="28">
        <v>326.57</v>
      </c>
      <c r="L35" s="28">
        <v>326.25</v>
      </c>
      <c r="M35" s="28">
        <v>328.07</v>
      </c>
      <c r="N35" s="28">
        <v>328.25</v>
      </c>
      <c r="O35" s="28">
        <v>326.75</v>
      </c>
      <c r="P35" s="28">
        <v>326.35000000000002</v>
      </c>
      <c r="Q35" s="28">
        <v>326.44</v>
      </c>
      <c r="R35" s="28">
        <v>327.54000000000002</v>
      </c>
      <c r="S35" s="28">
        <v>327.39999999999998</v>
      </c>
      <c r="T35" s="28">
        <v>326.7</v>
      </c>
      <c r="U35" s="28">
        <v>326.3</v>
      </c>
      <c r="V35" s="28">
        <v>328.6</v>
      </c>
      <c r="W35" s="28">
        <v>326.8</v>
      </c>
      <c r="X35" s="28">
        <v>327.39999999999998</v>
      </c>
      <c r="Y35" s="28">
        <v>327.5</v>
      </c>
      <c r="Z35" s="28">
        <v>326.37</v>
      </c>
      <c r="AA35" s="28">
        <v>327.39999999999998</v>
      </c>
      <c r="AB35" s="28">
        <v>327.39</v>
      </c>
      <c r="AC35" s="28">
        <v>326.97000000000003</v>
      </c>
      <c r="AD35" s="28">
        <v>327.24</v>
      </c>
      <c r="AE35" s="28">
        <v>326.64</v>
      </c>
      <c r="AF35" s="28">
        <v>326.79000000000002</v>
      </c>
      <c r="AG35" s="28">
        <v>326.89</v>
      </c>
      <c r="AH35" s="28">
        <v>327.55</v>
      </c>
      <c r="AI35" s="28">
        <v>327.5</v>
      </c>
      <c r="AJ35" s="28">
        <v>327.39</v>
      </c>
      <c r="AK35" s="28">
        <v>327.58999999999997</v>
      </c>
      <c r="AL35" s="28">
        <v>327.29000000000002</v>
      </c>
      <c r="AM35" s="28">
        <v>327.78</v>
      </c>
      <c r="AN35" s="28">
        <v>327.86</v>
      </c>
      <c r="AO35" s="28">
        <v>327.58</v>
      </c>
      <c r="AP35" s="28">
        <v>329.54</v>
      </c>
      <c r="AQ35" s="28">
        <v>328.39</v>
      </c>
      <c r="AR35" s="28">
        <v>328.22</v>
      </c>
      <c r="AS35" s="28">
        <v>327.04000000000002</v>
      </c>
      <c r="AT35" s="28">
        <v>328.37</v>
      </c>
      <c r="AU35" s="28">
        <v>327.58</v>
      </c>
      <c r="AV35" s="28">
        <v>327.16000000000003</v>
      </c>
      <c r="AW35" s="28">
        <v>327.04000000000002</v>
      </c>
      <c r="AX35" s="28">
        <v>328.18</v>
      </c>
      <c r="AY35" s="28">
        <v>328.64</v>
      </c>
      <c r="AZ35" s="28">
        <v>328.04</v>
      </c>
      <c r="BA35" s="28">
        <v>327.60000000000002</v>
      </c>
      <c r="BB35" s="28">
        <v>326.95</v>
      </c>
      <c r="BC35" s="28">
        <v>327.52999999999997</v>
      </c>
      <c r="BD35" s="28">
        <v>327.54000000000002</v>
      </c>
      <c r="BE35" s="28">
        <v>327.31</v>
      </c>
      <c r="BF35" s="28">
        <v>327.87</v>
      </c>
      <c r="BG35" s="28">
        <v>328.01</v>
      </c>
      <c r="BH35" s="28">
        <v>328.86</v>
      </c>
      <c r="BI35" s="28">
        <v>328.31</v>
      </c>
      <c r="BJ35" s="28">
        <v>326.93</v>
      </c>
    </row>
    <row r="36" spans="1:62" x14ac:dyDescent="0.25">
      <c r="A36" s="28" t="s">
        <v>30</v>
      </c>
      <c r="B36" s="28" t="s">
        <v>31</v>
      </c>
      <c r="C36" s="28" t="s">
        <v>32</v>
      </c>
      <c r="D36" s="28" t="s">
        <v>33</v>
      </c>
      <c r="E36" s="28" t="s">
        <v>42</v>
      </c>
      <c r="F36" s="28" t="s">
        <v>43</v>
      </c>
      <c r="G36" s="28" t="s">
        <v>23</v>
      </c>
      <c r="H36" s="28">
        <v>62</v>
      </c>
    </row>
    <row r="37" spans="1:62" x14ac:dyDescent="0.25">
      <c r="A37" s="5">
        <v>46169</v>
      </c>
      <c r="B37" s="5">
        <v>46169</v>
      </c>
      <c r="C37" s="5">
        <v>46169</v>
      </c>
      <c r="D37" s="5">
        <v>46169</v>
      </c>
      <c r="E37" s="5">
        <v>46170</v>
      </c>
      <c r="F37" s="5">
        <v>46170</v>
      </c>
      <c r="G37" s="5">
        <v>46171</v>
      </c>
      <c r="H37" s="5">
        <v>46171</v>
      </c>
      <c r="I37" s="5">
        <v>46171</v>
      </c>
      <c r="J37" s="5">
        <v>46171</v>
      </c>
      <c r="K37" s="5">
        <v>46172</v>
      </c>
      <c r="L37" s="5">
        <v>46172</v>
      </c>
      <c r="M37" s="5">
        <v>46172</v>
      </c>
      <c r="N37" s="5">
        <v>46174</v>
      </c>
      <c r="O37" s="5">
        <v>46174</v>
      </c>
      <c r="P37" s="5">
        <v>46174</v>
      </c>
      <c r="Q37" s="5">
        <v>46174</v>
      </c>
      <c r="R37" s="5">
        <v>46175</v>
      </c>
      <c r="S37" s="5">
        <v>46175</v>
      </c>
      <c r="T37" s="5">
        <v>46175</v>
      </c>
      <c r="U37" s="5">
        <v>46176</v>
      </c>
      <c r="V37" s="5">
        <v>46176</v>
      </c>
      <c r="W37" s="5">
        <v>46176</v>
      </c>
      <c r="X37" s="5">
        <v>46176</v>
      </c>
      <c r="Y37" s="5">
        <v>46176</v>
      </c>
      <c r="Z37" s="5">
        <v>46176</v>
      </c>
      <c r="AA37" s="5">
        <v>46176</v>
      </c>
      <c r="AB37" s="5">
        <v>46177</v>
      </c>
      <c r="AC37" s="5">
        <v>46178</v>
      </c>
      <c r="AD37" s="5">
        <v>46178</v>
      </c>
      <c r="AE37" s="5">
        <v>46178</v>
      </c>
      <c r="AF37" s="5">
        <v>46179</v>
      </c>
      <c r="AG37" s="5">
        <v>46180</v>
      </c>
      <c r="AH37" s="5">
        <v>46180</v>
      </c>
      <c r="AI37" s="5">
        <v>46180</v>
      </c>
      <c r="AJ37" s="5">
        <v>46180</v>
      </c>
      <c r="AK37" s="5">
        <v>46181</v>
      </c>
      <c r="AL37" s="5">
        <v>46181</v>
      </c>
      <c r="AM37" s="5">
        <v>46181</v>
      </c>
      <c r="AN37" s="5">
        <v>46181</v>
      </c>
      <c r="AO37" s="5">
        <v>46181</v>
      </c>
      <c r="AP37" s="5">
        <v>46182</v>
      </c>
      <c r="AQ37" s="5">
        <v>46182</v>
      </c>
      <c r="AR37" s="5">
        <v>46182</v>
      </c>
      <c r="AS37" s="5">
        <v>46182</v>
      </c>
      <c r="AT37" s="5">
        <v>46182</v>
      </c>
      <c r="AU37" s="5">
        <v>46183</v>
      </c>
      <c r="AV37" s="5">
        <v>46183</v>
      </c>
      <c r="AW37" s="5">
        <v>46183</v>
      </c>
      <c r="AX37" s="5">
        <v>46183</v>
      </c>
      <c r="AY37" s="5">
        <v>46183</v>
      </c>
      <c r="AZ37" s="5">
        <v>46184</v>
      </c>
      <c r="BA37" s="5">
        <v>46184</v>
      </c>
      <c r="BB37" s="5">
        <v>46184</v>
      </c>
      <c r="BC37" s="5">
        <v>46184</v>
      </c>
      <c r="BD37" s="5">
        <v>46184</v>
      </c>
      <c r="BE37" s="5">
        <v>46185</v>
      </c>
      <c r="BF37" s="5">
        <v>46185</v>
      </c>
      <c r="BG37" s="5">
        <v>46185</v>
      </c>
      <c r="BH37" s="5">
        <v>46185</v>
      </c>
      <c r="BI37" s="5">
        <v>46186</v>
      </c>
      <c r="BJ37" s="5">
        <v>46186</v>
      </c>
    </row>
    <row r="38" spans="1:62" x14ac:dyDescent="0.25">
      <c r="A38" s="28">
        <v>816948</v>
      </c>
      <c r="B38" s="28">
        <v>816987</v>
      </c>
      <c r="C38" s="28">
        <v>816998</v>
      </c>
      <c r="D38" s="28">
        <v>817092</v>
      </c>
      <c r="E38" s="28">
        <v>817353</v>
      </c>
      <c r="F38" s="28">
        <v>817441</v>
      </c>
      <c r="G38" s="28">
        <v>817773</v>
      </c>
      <c r="H38" s="28">
        <v>817861</v>
      </c>
      <c r="I38" s="28">
        <v>817943</v>
      </c>
      <c r="J38" s="28">
        <v>817985</v>
      </c>
      <c r="K38" s="28">
        <v>818214</v>
      </c>
      <c r="L38" s="28">
        <v>818254</v>
      </c>
      <c r="M38" s="28">
        <v>818291</v>
      </c>
      <c r="N38" s="28">
        <v>818439</v>
      </c>
      <c r="O38" s="28">
        <v>818580</v>
      </c>
      <c r="P38" s="28">
        <v>818627</v>
      </c>
      <c r="Q38" s="28">
        <v>818667</v>
      </c>
      <c r="R38" s="28">
        <v>818839</v>
      </c>
      <c r="S38" s="28">
        <v>818934</v>
      </c>
      <c r="T38" s="28">
        <v>819019</v>
      </c>
      <c r="U38" s="28">
        <v>819103</v>
      </c>
      <c r="V38" s="28">
        <v>819271</v>
      </c>
      <c r="W38" s="28">
        <v>819315</v>
      </c>
      <c r="X38" s="28">
        <v>819370</v>
      </c>
      <c r="Y38" s="28">
        <v>819445</v>
      </c>
      <c r="Z38" s="28">
        <v>819491</v>
      </c>
      <c r="AA38" s="28">
        <v>819533</v>
      </c>
      <c r="AB38" s="28">
        <v>819706</v>
      </c>
      <c r="AC38" s="28">
        <v>819995</v>
      </c>
      <c r="AD38" s="28">
        <v>820041</v>
      </c>
      <c r="AE38" s="28">
        <v>820088</v>
      </c>
      <c r="AF38" s="28">
        <v>820271</v>
      </c>
      <c r="AG38" s="28">
        <v>820495</v>
      </c>
      <c r="AH38" s="28">
        <v>820568</v>
      </c>
      <c r="AI38" s="28">
        <v>820630</v>
      </c>
      <c r="AJ38" s="28">
        <v>820670</v>
      </c>
      <c r="AK38" s="28">
        <v>820873</v>
      </c>
      <c r="AL38" s="28">
        <v>820921</v>
      </c>
      <c r="AM38" s="28">
        <v>820957</v>
      </c>
      <c r="AN38" s="28">
        <v>821024</v>
      </c>
      <c r="AO38" s="28">
        <v>821060</v>
      </c>
      <c r="AP38" s="28">
        <v>821288</v>
      </c>
      <c r="AQ38" s="28">
        <v>821319</v>
      </c>
      <c r="AR38" s="28">
        <v>821356</v>
      </c>
      <c r="AS38" s="28">
        <v>821451</v>
      </c>
      <c r="AT38" s="28">
        <v>821500</v>
      </c>
      <c r="AU38" s="28">
        <v>821710</v>
      </c>
      <c r="AV38" s="28">
        <v>821754</v>
      </c>
      <c r="AW38" s="28">
        <v>821805</v>
      </c>
      <c r="AX38" s="28">
        <v>821885</v>
      </c>
      <c r="AY38" s="28">
        <v>821931</v>
      </c>
      <c r="AZ38" s="28">
        <v>822143</v>
      </c>
      <c r="BA38" s="28">
        <v>822185</v>
      </c>
      <c r="BB38" s="28">
        <v>822236</v>
      </c>
      <c r="BC38" s="28">
        <v>822306</v>
      </c>
      <c r="BD38" s="28">
        <v>822352</v>
      </c>
      <c r="BE38" s="28">
        <v>822558</v>
      </c>
      <c r="BF38" s="28">
        <v>822647</v>
      </c>
      <c r="BG38" s="28">
        <v>822737</v>
      </c>
      <c r="BH38" s="28">
        <v>822777</v>
      </c>
      <c r="BI38" s="28">
        <v>823003</v>
      </c>
      <c r="BJ38" s="28">
        <v>823082</v>
      </c>
    </row>
    <row r="39" spans="1:62" x14ac:dyDescent="0.25">
      <c r="A39" s="28">
        <v>990.2</v>
      </c>
      <c r="B39" s="28">
        <v>990.2</v>
      </c>
      <c r="C39" s="28">
        <v>990.2</v>
      </c>
      <c r="D39" s="28">
        <v>990.2</v>
      </c>
      <c r="E39" s="28">
        <v>990.2</v>
      </c>
      <c r="F39" s="28">
        <v>990.2</v>
      </c>
      <c r="G39" s="28">
        <v>990.2</v>
      </c>
      <c r="H39" s="28">
        <v>990.2</v>
      </c>
      <c r="I39" s="28">
        <v>990.2</v>
      </c>
      <c r="J39" s="28">
        <v>990.2</v>
      </c>
      <c r="K39" s="28">
        <v>990.2</v>
      </c>
      <c r="L39" s="28">
        <v>990.2</v>
      </c>
      <c r="M39" s="28">
        <v>990.2</v>
      </c>
      <c r="N39" s="28">
        <v>990.2</v>
      </c>
      <c r="O39" s="28">
        <v>990.2</v>
      </c>
      <c r="P39" s="28">
        <v>990.2</v>
      </c>
      <c r="Q39" s="28">
        <v>990.2</v>
      </c>
      <c r="R39" s="28">
        <v>990.2</v>
      </c>
      <c r="S39" s="28">
        <v>990.2</v>
      </c>
      <c r="T39" s="28">
        <v>990.2</v>
      </c>
      <c r="U39" s="28">
        <v>990.2</v>
      </c>
      <c r="V39" s="28">
        <v>990.2</v>
      </c>
      <c r="W39" s="28">
        <v>990.2</v>
      </c>
      <c r="X39" s="28">
        <v>990.2</v>
      </c>
      <c r="Y39" s="28">
        <v>990.2</v>
      </c>
      <c r="Z39" s="28">
        <v>990.2</v>
      </c>
      <c r="AA39" s="28">
        <v>990.2</v>
      </c>
      <c r="AB39" s="28">
        <v>990.2</v>
      </c>
      <c r="AC39" s="28">
        <v>990.2</v>
      </c>
      <c r="AD39" s="28">
        <v>990.2</v>
      </c>
      <c r="AE39" s="28">
        <v>990.2</v>
      </c>
      <c r="AF39" s="28">
        <v>990.2</v>
      </c>
      <c r="AG39" s="28">
        <v>990.2</v>
      </c>
      <c r="AH39" s="28">
        <v>990.2</v>
      </c>
      <c r="AI39" s="28">
        <v>990.2</v>
      </c>
      <c r="AJ39" s="28">
        <v>990.2</v>
      </c>
      <c r="AK39" s="28">
        <v>990.2</v>
      </c>
      <c r="AL39" s="28">
        <v>990.2</v>
      </c>
      <c r="AM39" s="28">
        <v>990.2</v>
      </c>
      <c r="AN39" s="28">
        <v>990.2</v>
      </c>
      <c r="AO39" s="28">
        <v>990.2</v>
      </c>
      <c r="AP39" s="28">
        <v>990.2</v>
      </c>
      <c r="AQ39" s="28">
        <v>990.2</v>
      </c>
      <c r="AR39" s="28">
        <v>990.2</v>
      </c>
      <c r="AS39" s="28">
        <v>990.2</v>
      </c>
      <c r="AT39" s="28">
        <v>990.2</v>
      </c>
      <c r="AU39" s="28">
        <v>990.2</v>
      </c>
      <c r="AV39" s="28">
        <v>990.2</v>
      </c>
      <c r="AW39" s="28">
        <v>990.2</v>
      </c>
      <c r="AX39" s="28">
        <v>990.2</v>
      </c>
      <c r="AY39" s="28">
        <v>990.2</v>
      </c>
      <c r="AZ39" s="28">
        <v>990.2</v>
      </c>
      <c r="BA39" s="28">
        <v>990.2</v>
      </c>
      <c r="BB39" s="28">
        <v>990.2</v>
      </c>
      <c r="BC39" s="28">
        <v>990.2</v>
      </c>
      <c r="BD39" s="28">
        <v>990.2</v>
      </c>
      <c r="BE39" s="28">
        <v>990.2</v>
      </c>
      <c r="BF39" s="28">
        <v>990.2</v>
      </c>
      <c r="BG39" s="28">
        <v>990.2</v>
      </c>
      <c r="BH39" s="28">
        <v>990.2</v>
      </c>
      <c r="BI39" s="28">
        <v>990.2</v>
      </c>
      <c r="BJ39" s="28">
        <v>990.2</v>
      </c>
    </row>
    <row r="40" spans="1:62" x14ac:dyDescent="0.25">
      <c r="A40" s="28">
        <v>987.2</v>
      </c>
      <c r="B40" s="28">
        <v>987.2</v>
      </c>
      <c r="C40" s="28">
        <v>987.2</v>
      </c>
      <c r="D40" s="28">
        <v>987.2</v>
      </c>
      <c r="E40" s="28">
        <v>987.2</v>
      </c>
      <c r="F40" s="28">
        <v>987.2</v>
      </c>
      <c r="G40" s="28">
        <v>987.2</v>
      </c>
      <c r="H40" s="28">
        <v>987.2</v>
      </c>
      <c r="I40" s="28">
        <v>987.2</v>
      </c>
      <c r="J40" s="28">
        <v>987.2</v>
      </c>
      <c r="K40" s="28">
        <v>987.2</v>
      </c>
      <c r="L40" s="28">
        <v>987.2</v>
      </c>
      <c r="M40" s="28">
        <v>987.2</v>
      </c>
      <c r="N40" s="28">
        <v>987.2</v>
      </c>
      <c r="O40" s="28">
        <v>987.2</v>
      </c>
      <c r="P40" s="28">
        <v>987.2</v>
      </c>
      <c r="Q40" s="28">
        <v>987.2</v>
      </c>
      <c r="R40" s="28">
        <v>987.2</v>
      </c>
      <c r="S40" s="28">
        <v>987.2</v>
      </c>
      <c r="T40" s="28">
        <v>987.2</v>
      </c>
      <c r="U40" s="28">
        <v>987.2</v>
      </c>
      <c r="V40" s="28">
        <v>987.2</v>
      </c>
      <c r="W40" s="28">
        <v>987.2</v>
      </c>
      <c r="X40" s="28">
        <v>987.2</v>
      </c>
      <c r="Y40" s="28">
        <v>987.2</v>
      </c>
      <c r="Z40" s="28">
        <v>987.2</v>
      </c>
      <c r="AA40" s="28">
        <v>987.2</v>
      </c>
      <c r="AB40" s="28">
        <v>987.2</v>
      </c>
      <c r="AC40" s="28">
        <v>987.2</v>
      </c>
      <c r="AD40" s="28">
        <v>987.2</v>
      </c>
      <c r="AE40" s="28">
        <v>987.2</v>
      </c>
      <c r="AF40" s="28">
        <v>987.2</v>
      </c>
      <c r="AG40" s="28">
        <v>987.2</v>
      </c>
      <c r="AH40" s="28">
        <v>987.2</v>
      </c>
      <c r="AI40" s="28">
        <v>987.2</v>
      </c>
      <c r="AJ40" s="28">
        <v>987.2</v>
      </c>
      <c r="AK40" s="28">
        <v>987.2</v>
      </c>
      <c r="AL40" s="28">
        <v>987.2</v>
      </c>
      <c r="AM40" s="28">
        <v>987.2</v>
      </c>
      <c r="AN40" s="28">
        <v>987.2</v>
      </c>
      <c r="AO40" s="28">
        <v>987.2</v>
      </c>
      <c r="AP40" s="28">
        <v>987.2</v>
      </c>
      <c r="AQ40" s="28">
        <v>987.2</v>
      </c>
      <c r="AR40" s="28">
        <v>987.2</v>
      </c>
      <c r="AS40" s="28">
        <v>987.2</v>
      </c>
      <c r="AT40" s="28">
        <v>987.2</v>
      </c>
      <c r="AU40" s="28">
        <v>987.2</v>
      </c>
      <c r="AV40" s="28">
        <v>987.2</v>
      </c>
      <c r="AW40" s="28">
        <v>987.2</v>
      </c>
      <c r="AX40" s="28">
        <v>987.2</v>
      </c>
      <c r="AY40" s="28">
        <v>987.2</v>
      </c>
      <c r="AZ40" s="28">
        <v>987.2</v>
      </c>
      <c r="BA40" s="28">
        <v>987.2</v>
      </c>
      <c r="BB40" s="28">
        <v>987.2</v>
      </c>
      <c r="BC40" s="28">
        <v>987.2</v>
      </c>
      <c r="BD40" s="28">
        <v>987.2</v>
      </c>
      <c r="BE40" s="28">
        <v>987.2</v>
      </c>
      <c r="BF40" s="28">
        <v>987.2</v>
      </c>
      <c r="BG40" s="28">
        <v>987.2</v>
      </c>
      <c r="BH40" s="28">
        <v>987.2</v>
      </c>
      <c r="BI40" s="28">
        <v>987.2</v>
      </c>
      <c r="BJ40" s="28">
        <v>987.2</v>
      </c>
    </row>
    <row r="41" spans="1:62" x14ac:dyDescent="0.25">
      <c r="A41" s="28">
        <v>993.2</v>
      </c>
      <c r="B41" s="28">
        <v>993.2</v>
      </c>
      <c r="C41" s="28">
        <v>993.2</v>
      </c>
      <c r="D41" s="28">
        <v>993.2</v>
      </c>
      <c r="E41" s="28">
        <v>993.2</v>
      </c>
      <c r="F41" s="28">
        <v>993.2</v>
      </c>
      <c r="G41" s="28">
        <v>993.2</v>
      </c>
      <c r="H41" s="28">
        <v>993.2</v>
      </c>
      <c r="I41" s="28">
        <v>993.2</v>
      </c>
      <c r="J41" s="28">
        <v>993.2</v>
      </c>
      <c r="K41" s="28">
        <v>993.2</v>
      </c>
      <c r="L41" s="28">
        <v>993.2</v>
      </c>
      <c r="M41" s="28">
        <v>993.2</v>
      </c>
      <c r="N41" s="28">
        <v>993.2</v>
      </c>
      <c r="O41" s="28">
        <v>993.2</v>
      </c>
      <c r="P41" s="28">
        <v>993.2</v>
      </c>
      <c r="Q41" s="28">
        <v>993.2</v>
      </c>
      <c r="R41" s="28">
        <v>993.2</v>
      </c>
      <c r="S41" s="28">
        <v>993.2</v>
      </c>
      <c r="T41" s="28">
        <v>993.2</v>
      </c>
      <c r="U41" s="28">
        <v>993.2</v>
      </c>
      <c r="V41" s="28">
        <v>993.2</v>
      </c>
      <c r="W41" s="28">
        <v>993.2</v>
      </c>
      <c r="X41" s="28">
        <v>993.2</v>
      </c>
      <c r="Y41" s="28">
        <v>993.2</v>
      </c>
      <c r="Z41" s="28">
        <v>993.2</v>
      </c>
      <c r="AA41" s="28">
        <v>993.2</v>
      </c>
      <c r="AB41" s="28">
        <v>993.2</v>
      </c>
      <c r="AC41" s="28">
        <v>993.2</v>
      </c>
      <c r="AD41" s="28">
        <v>993.2</v>
      </c>
      <c r="AE41" s="28">
        <v>993.2</v>
      </c>
      <c r="AF41" s="28">
        <v>993.2</v>
      </c>
      <c r="AG41" s="28">
        <v>993.2</v>
      </c>
      <c r="AH41" s="28">
        <v>993.2</v>
      </c>
      <c r="AI41" s="28">
        <v>993.2</v>
      </c>
      <c r="AJ41" s="28">
        <v>993.2</v>
      </c>
      <c r="AK41" s="28">
        <v>993.2</v>
      </c>
      <c r="AL41" s="28">
        <v>993.2</v>
      </c>
      <c r="AM41" s="28">
        <v>993.2</v>
      </c>
      <c r="AN41" s="28">
        <v>993.2</v>
      </c>
      <c r="AO41" s="28">
        <v>993.2</v>
      </c>
      <c r="AP41" s="28">
        <v>993.2</v>
      </c>
      <c r="AQ41" s="28">
        <v>993.2</v>
      </c>
      <c r="AR41" s="28">
        <v>993.2</v>
      </c>
      <c r="AS41" s="28">
        <v>993.2</v>
      </c>
      <c r="AT41" s="28">
        <v>993.2</v>
      </c>
      <c r="AU41" s="28">
        <v>993.2</v>
      </c>
      <c r="AV41" s="28">
        <v>993.2</v>
      </c>
      <c r="AW41" s="28">
        <v>993.2</v>
      </c>
      <c r="AX41" s="28">
        <v>993.2</v>
      </c>
      <c r="AY41" s="28">
        <v>993.2</v>
      </c>
      <c r="AZ41" s="28">
        <v>993.2</v>
      </c>
      <c r="BA41" s="28">
        <v>993.2</v>
      </c>
      <c r="BB41" s="28">
        <v>993.2</v>
      </c>
      <c r="BC41" s="28">
        <v>993.2</v>
      </c>
      <c r="BD41" s="28">
        <v>993.2</v>
      </c>
      <c r="BE41" s="28">
        <v>993.2</v>
      </c>
      <c r="BF41" s="28">
        <v>993.2</v>
      </c>
      <c r="BG41" s="28">
        <v>993.2</v>
      </c>
      <c r="BH41" s="28">
        <v>993.2</v>
      </c>
      <c r="BI41" s="28">
        <v>993.2</v>
      </c>
      <c r="BJ41" s="28">
        <v>993.2</v>
      </c>
    </row>
    <row r="42" spans="1:62" x14ac:dyDescent="0.25">
      <c r="A42" s="28">
        <v>989.59</v>
      </c>
      <c r="B42" s="28">
        <v>989.23</v>
      </c>
      <c r="C42" s="28">
        <v>989.37</v>
      </c>
      <c r="D42" s="28">
        <v>989.4</v>
      </c>
      <c r="E42" s="28">
        <v>989.1</v>
      </c>
      <c r="F42" s="28">
        <v>989.4</v>
      </c>
      <c r="G42" s="28">
        <v>989.2</v>
      </c>
      <c r="H42" s="28">
        <v>989.5</v>
      </c>
      <c r="I42" s="28">
        <v>989.4</v>
      </c>
      <c r="J42" s="28">
        <v>989.49</v>
      </c>
      <c r="K42" s="28">
        <v>988.95</v>
      </c>
      <c r="L42" s="28">
        <v>988.85</v>
      </c>
      <c r="M42" s="28">
        <v>988.81</v>
      </c>
      <c r="N42" s="28">
        <v>989.65</v>
      </c>
      <c r="O42" s="28">
        <v>989.07</v>
      </c>
      <c r="P42" s="28">
        <v>988.56</v>
      </c>
      <c r="Q42" s="28">
        <v>988.34</v>
      </c>
      <c r="R42" s="28">
        <v>988.87</v>
      </c>
      <c r="S42" s="28">
        <v>989.5</v>
      </c>
      <c r="T42" s="28">
        <v>989.1</v>
      </c>
      <c r="U42" s="28">
        <v>989.2</v>
      </c>
      <c r="V42" s="28">
        <v>989.47</v>
      </c>
      <c r="W42" s="28">
        <v>989.5</v>
      </c>
      <c r="X42" s="28">
        <v>989.8</v>
      </c>
      <c r="Y42" s="28">
        <v>989.4</v>
      </c>
      <c r="Z42" s="28">
        <v>989.24</v>
      </c>
      <c r="AA42" s="28">
        <v>989.4</v>
      </c>
      <c r="AB42" s="28">
        <v>989.58</v>
      </c>
      <c r="AC42" s="28">
        <v>988.77</v>
      </c>
      <c r="AD42" s="28">
        <v>988.72</v>
      </c>
      <c r="AE42" s="28">
        <v>989.07</v>
      </c>
      <c r="AF42" s="28">
        <v>989.22</v>
      </c>
      <c r="AG42" s="28">
        <v>989.14</v>
      </c>
      <c r="AH42" s="28">
        <v>988.98</v>
      </c>
      <c r="AI42" s="28">
        <v>989.2</v>
      </c>
      <c r="AJ42" s="28">
        <v>988.54</v>
      </c>
      <c r="AK42" s="28">
        <v>989.25</v>
      </c>
      <c r="AL42" s="28">
        <v>989.31</v>
      </c>
      <c r="AM42" s="28">
        <v>989.38</v>
      </c>
      <c r="AN42" s="28">
        <v>989.47</v>
      </c>
      <c r="AO42" s="28">
        <v>989.25</v>
      </c>
      <c r="AP42" s="28">
        <v>989.37</v>
      </c>
      <c r="AQ42" s="28">
        <v>989.21</v>
      </c>
      <c r="AR42" s="28">
        <v>988.76</v>
      </c>
      <c r="AS42" s="28">
        <v>989.56</v>
      </c>
      <c r="AT42" s="28">
        <v>989.66</v>
      </c>
      <c r="AU42" s="28">
        <v>989</v>
      </c>
      <c r="AV42" s="28">
        <v>989.41</v>
      </c>
      <c r="AW42" s="28">
        <v>989.23</v>
      </c>
      <c r="AX42" s="28">
        <v>989.07</v>
      </c>
      <c r="AY42" s="28">
        <v>989.86</v>
      </c>
      <c r="AZ42" s="28">
        <v>989.66</v>
      </c>
      <c r="BA42" s="28">
        <v>989.4</v>
      </c>
      <c r="BB42" s="28">
        <v>989.61</v>
      </c>
      <c r="BC42" s="28">
        <v>989.76</v>
      </c>
      <c r="BD42" s="28">
        <v>989.52</v>
      </c>
      <c r="BE42" s="28">
        <v>988.66</v>
      </c>
      <c r="BF42" s="28">
        <v>989.12</v>
      </c>
      <c r="BG42" s="28">
        <v>989.27</v>
      </c>
      <c r="BH42" s="28">
        <v>989.86</v>
      </c>
      <c r="BI42" s="28">
        <v>988.6</v>
      </c>
      <c r="BJ42" s="28">
        <v>988.68</v>
      </c>
    </row>
    <row r="43" spans="1:62" x14ac:dyDescent="0.25">
      <c r="A43" s="28" t="s">
        <v>30</v>
      </c>
      <c r="B43" s="28" t="s">
        <v>31</v>
      </c>
      <c r="C43" s="28" t="s">
        <v>32</v>
      </c>
      <c r="D43" s="28" t="s">
        <v>33</v>
      </c>
      <c r="E43" s="28" t="s">
        <v>44</v>
      </c>
      <c r="F43" s="28" t="s">
        <v>45</v>
      </c>
      <c r="G43" s="28" t="s">
        <v>24</v>
      </c>
      <c r="H43" s="28">
        <v>62</v>
      </c>
    </row>
    <row r="44" spans="1:62" x14ac:dyDescent="0.25">
      <c r="A44" s="5">
        <v>46169</v>
      </c>
      <c r="B44" s="5">
        <v>46169</v>
      </c>
      <c r="C44" s="5">
        <v>46169</v>
      </c>
      <c r="D44" s="5">
        <v>46169</v>
      </c>
      <c r="E44" s="5">
        <v>46170</v>
      </c>
      <c r="F44" s="5">
        <v>46170</v>
      </c>
      <c r="G44" s="5">
        <v>46171</v>
      </c>
      <c r="H44" s="5">
        <v>46171</v>
      </c>
      <c r="I44" s="5">
        <v>46171</v>
      </c>
      <c r="J44" s="5">
        <v>46171</v>
      </c>
      <c r="K44" s="5">
        <v>46172</v>
      </c>
      <c r="L44" s="5">
        <v>46172</v>
      </c>
      <c r="M44" s="5">
        <v>46172</v>
      </c>
      <c r="N44" s="5">
        <v>46174</v>
      </c>
      <c r="O44" s="5">
        <v>46174</v>
      </c>
      <c r="P44" s="5">
        <v>46174</v>
      </c>
      <c r="Q44" s="5">
        <v>46174</v>
      </c>
      <c r="R44" s="5">
        <v>46175</v>
      </c>
      <c r="S44" s="5">
        <v>46175</v>
      </c>
      <c r="T44" s="5">
        <v>46175</v>
      </c>
      <c r="U44" s="5">
        <v>46176</v>
      </c>
      <c r="V44" s="5">
        <v>46176</v>
      </c>
      <c r="W44" s="5">
        <v>46176</v>
      </c>
      <c r="X44" s="5">
        <v>46176</v>
      </c>
      <c r="Y44" s="5">
        <v>46176</v>
      </c>
      <c r="Z44" s="5">
        <v>46176</v>
      </c>
      <c r="AA44" s="5">
        <v>46176</v>
      </c>
      <c r="AB44" s="5">
        <v>46177</v>
      </c>
      <c r="AC44" s="5">
        <v>46178</v>
      </c>
      <c r="AD44" s="5">
        <v>46178</v>
      </c>
      <c r="AE44" s="5">
        <v>46178</v>
      </c>
      <c r="AF44" s="5">
        <v>46179</v>
      </c>
      <c r="AG44" s="5">
        <v>46180</v>
      </c>
      <c r="AH44" s="5">
        <v>46180</v>
      </c>
      <c r="AI44" s="5">
        <v>46180</v>
      </c>
      <c r="AJ44" s="5">
        <v>46180</v>
      </c>
      <c r="AK44" s="5">
        <v>46181</v>
      </c>
      <c r="AL44" s="5">
        <v>46181</v>
      </c>
      <c r="AM44" s="5">
        <v>46181</v>
      </c>
      <c r="AN44" s="5">
        <v>46181</v>
      </c>
      <c r="AO44" s="5">
        <v>46181</v>
      </c>
      <c r="AP44" s="5">
        <v>46182</v>
      </c>
      <c r="AQ44" s="5">
        <v>46182</v>
      </c>
      <c r="AR44" s="5">
        <v>46182</v>
      </c>
      <c r="AS44" s="5">
        <v>46182</v>
      </c>
      <c r="AT44" s="5">
        <v>46182</v>
      </c>
      <c r="AU44" s="5">
        <v>46183</v>
      </c>
      <c r="AV44" s="5">
        <v>46183</v>
      </c>
      <c r="AW44" s="5">
        <v>46183</v>
      </c>
      <c r="AX44" s="5">
        <v>46183</v>
      </c>
      <c r="AY44" s="5">
        <v>46183</v>
      </c>
      <c r="AZ44" s="5">
        <v>46184</v>
      </c>
      <c r="BA44" s="5">
        <v>46184</v>
      </c>
      <c r="BB44" s="5">
        <v>46184</v>
      </c>
      <c r="BC44" s="5">
        <v>46184</v>
      </c>
      <c r="BD44" s="5">
        <v>46184</v>
      </c>
      <c r="BE44" s="5">
        <v>46185</v>
      </c>
      <c r="BF44" s="5">
        <v>46185</v>
      </c>
      <c r="BG44" s="5">
        <v>46185</v>
      </c>
      <c r="BH44" s="5">
        <v>46185</v>
      </c>
      <c r="BI44" s="5">
        <v>46186</v>
      </c>
      <c r="BJ44" s="5">
        <v>46186</v>
      </c>
    </row>
    <row r="45" spans="1:62" x14ac:dyDescent="0.25">
      <c r="A45" s="28">
        <v>816948</v>
      </c>
      <c r="B45" s="28">
        <v>816987</v>
      </c>
      <c r="C45" s="28">
        <v>816998</v>
      </c>
      <c r="D45" s="28">
        <v>817092</v>
      </c>
      <c r="E45" s="28">
        <v>817353</v>
      </c>
      <c r="F45" s="28">
        <v>817441</v>
      </c>
      <c r="G45" s="28">
        <v>817773</v>
      </c>
      <c r="H45" s="28">
        <v>817861</v>
      </c>
      <c r="I45" s="28">
        <v>817943</v>
      </c>
      <c r="J45" s="28">
        <v>817985</v>
      </c>
      <c r="K45" s="28">
        <v>818214</v>
      </c>
      <c r="L45" s="28">
        <v>818254</v>
      </c>
      <c r="M45" s="28">
        <v>818291</v>
      </c>
      <c r="N45" s="28">
        <v>818439</v>
      </c>
      <c r="O45" s="28">
        <v>818580</v>
      </c>
      <c r="P45" s="28">
        <v>818627</v>
      </c>
      <c r="Q45" s="28">
        <v>818667</v>
      </c>
      <c r="R45" s="28">
        <v>818839</v>
      </c>
      <c r="S45" s="28">
        <v>818934</v>
      </c>
      <c r="T45" s="28">
        <v>819019</v>
      </c>
      <c r="U45" s="28">
        <v>819103</v>
      </c>
      <c r="V45" s="28">
        <v>819271</v>
      </c>
      <c r="W45" s="28">
        <v>819315</v>
      </c>
      <c r="X45" s="28">
        <v>819370</v>
      </c>
      <c r="Y45" s="28">
        <v>819445</v>
      </c>
      <c r="Z45" s="28">
        <v>819491</v>
      </c>
      <c r="AA45" s="28">
        <v>819533</v>
      </c>
      <c r="AB45" s="28">
        <v>819706</v>
      </c>
      <c r="AC45" s="28">
        <v>819995</v>
      </c>
      <c r="AD45" s="28">
        <v>820041</v>
      </c>
      <c r="AE45" s="28">
        <v>820088</v>
      </c>
      <c r="AF45" s="28">
        <v>820271</v>
      </c>
      <c r="AG45" s="28">
        <v>820495</v>
      </c>
      <c r="AH45" s="28">
        <v>820568</v>
      </c>
      <c r="AI45" s="28">
        <v>820630</v>
      </c>
      <c r="AJ45" s="28">
        <v>820670</v>
      </c>
      <c r="AK45" s="28">
        <v>820873</v>
      </c>
      <c r="AL45" s="28">
        <v>820921</v>
      </c>
      <c r="AM45" s="28">
        <v>820957</v>
      </c>
      <c r="AN45" s="28">
        <v>821024</v>
      </c>
      <c r="AO45" s="28">
        <v>821060</v>
      </c>
      <c r="AP45" s="28">
        <v>821288</v>
      </c>
      <c r="AQ45" s="28">
        <v>821319</v>
      </c>
      <c r="AR45" s="28">
        <v>821356</v>
      </c>
      <c r="AS45" s="28">
        <v>821451</v>
      </c>
      <c r="AT45" s="28">
        <v>821500</v>
      </c>
      <c r="AU45" s="28">
        <v>821710</v>
      </c>
      <c r="AV45" s="28">
        <v>821754</v>
      </c>
      <c r="AW45" s="28">
        <v>821805</v>
      </c>
      <c r="AX45" s="28">
        <v>821885</v>
      </c>
      <c r="AY45" s="28">
        <v>821931</v>
      </c>
      <c r="AZ45" s="28">
        <v>822143</v>
      </c>
      <c r="BA45" s="28">
        <v>822185</v>
      </c>
      <c r="BB45" s="28">
        <v>822236</v>
      </c>
      <c r="BC45" s="28">
        <v>822306</v>
      </c>
      <c r="BD45" s="28">
        <v>822352</v>
      </c>
      <c r="BE45" s="28">
        <v>822558</v>
      </c>
      <c r="BF45" s="28">
        <v>822647</v>
      </c>
      <c r="BG45" s="28">
        <v>822737</v>
      </c>
      <c r="BH45" s="28">
        <v>822777</v>
      </c>
      <c r="BI45" s="28">
        <v>823003</v>
      </c>
      <c r="BJ45" s="28">
        <v>823082</v>
      </c>
    </row>
    <row r="46" spans="1:62" x14ac:dyDescent="0.25">
      <c r="A46" s="28">
        <v>226.2</v>
      </c>
      <c r="B46" s="28">
        <v>226.2</v>
      </c>
      <c r="C46" s="28">
        <v>226.2</v>
      </c>
      <c r="D46" s="28">
        <v>226.2</v>
      </c>
      <c r="E46" s="28">
        <v>226.2</v>
      </c>
      <c r="F46" s="28">
        <v>226.2</v>
      </c>
      <c r="G46" s="28">
        <v>226.2</v>
      </c>
      <c r="H46" s="28">
        <v>226.2</v>
      </c>
      <c r="I46" s="28">
        <v>226.2</v>
      </c>
      <c r="J46" s="28">
        <v>226.2</v>
      </c>
      <c r="K46" s="28">
        <v>226.2</v>
      </c>
      <c r="L46" s="28">
        <v>226.2</v>
      </c>
      <c r="M46" s="28">
        <v>226.2</v>
      </c>
      <c r="N46" s="28">
        <v>226.2</v>
      </c>
      <c r="O46" s="28">
        <v>226.2</v>
      </c>
      <c r="P46" s="28">
        <v>226.2</v>
      </c>
      <c r="Q46" s="28">
        <v>226.2</v>
      </c>
      <c r="R46" s="28">
        <v>226.2</v>
      </c>
      <c r="S46" s="28">
        <v>226.2</v>
      </c>
      <c r="T46" s="28">
        <v>226.2</v>
      </c>
      <c r="U46" s="28">
        <v>226.2</v>
      </c>
      <c r="V46" s="28">
        <v>226.2</v>
      </c>
      <c r="W46" s="28">
        <v>226.2</v>
      </c>
      <c r="X46" s="28">
        <v>226.2</v>
      </c>
      <c r="Y46" s="28">
        <v>226.2</v>
      </c>
      <c r="Z46" s="28">
        <v>226.2</v>
      </c>
      <c r="AA46" s="28">
        <v>226.2</v>
      </c>
      <c r="AB46" s="28">
        <v>226.2</v>
      </c>
      <c r="AC46" s="28">
        <v>226.2</v>
      </c>
      <c r="AD46" s="28">
        <v>226.2</v>
      </c>
      <c r="AE46" s="28">
        <v>226.2</v>
      </c>
      <c r="AF46" s="28">
        <v>226.2</v>
      </c>
      <c r="AG46" s="28">
        <v>226.2</v>
      </c>
      <c r="AH46" s="28">
        <v>226.2</v>
      </c>
      <c r="AI46" s="28">
        <v>226.2</v>
      </c>
      <c r="AJ46" s="28">
        <v>226.2</v>
      </c>
      <c r="AK46" s="28">
        <v>226.2</v>
      </c>
      <c r="AL46" s="28">
        <v>226.2</v>
      </c>
      <c r="AM46" s="28">
        <v>226.2</v>
      </c>
      <c r="AN46" s="28">
        <v>226.2</v>
      </c>
      <c r="AO46" s="28">
        <v>226.2</v>
      </c>
      <c r="AP46" s="28">
        <v>226.2</v>
      </c>
      <c r="AQ46" s="28">
        <v>226.2</v>
      </c>
      <c r="AR46" s="28">
        <v>226.2</v>
      </c>
      <c r="AS46" s="28">
        <v>226.2</v>
      </c>
      <c r="AT46" s="28">
        <v>226.2</v>
      </c>
      <c r="AU46" s="28">
        <v>226.2</v>
      </c>
      <c r="AV46" s="28">
        <v>226.2</v>
      </c>
      <c r="AW46" s="28">
        <v>226.2</v>
      </c>
      <c r="AX46" s="28">
        <v>226.2</v>
      </c>
      <c r="AY46" s="28">
        <v>226.2</v>
      </c>
      <c r="AZ46" s="28">
        <v>226.2</v>
      </c>
      <c r="BA46" s="28">
        <v>226.2</v>
      </c>
      <c r="BB46" s="28">
        <v>226.2</v>
      </c>
      <c r="BC46" s="28">
        <v>226.2</v>
      </c>
      <c r="BD46" s="28">
        <v>226.2</v>
      </c>
      <c r="BE46" s="28">
        <v>226.2</v>
      </c>
      <c r="BF46" s="28">
        <v>226.2</v>
      </c>
      <c r="BG46" s="28">
        <v>226.2</v>
      </c>
      <c r="BH46" s="28">
        <v>226.2</v>
      </c>
      <c r="BI46" s="28">
        <v>226.2</v>
      </c>
      <c r="BJ46" s="28">
        <v>226.2</v>
      </c>
    </row>
    <row r="47" spans="1:62" x14ac:dyDescent="0.25">
      <c r="A47" s="28">
        <v>223.2</v>
      </c>
      <c r="B47" s="28">
        <v>223.2</v>
      </c>
      <c r="C47" s="28">
        <v>223.2</v>
      </c>
      <c r="D47" s="28">
        <v>223.2</v>
      </c>
      <c r="E47" s="28">
        <v>223.2</v>
      </c>
      <c r="F47" s="28">
        <v>223.2</v>
      </c>
      <c r="G47" s="28">
        <v>223.2</v>
      </c>
      <c r="H47" s="28">
        <v>223.2</v>
      </c>
      <c r="I47" s="28">
        <v>223.2</v>
      </c>
      <c r="J47" s="28">
        <v>223.2</v>
      </c>
      <c r="K47" s="28">
        <v>223.2</v>
      </c>
      <c r="L47" s="28">
        <v>223.2</v>
      </c>
      <c r="M47" s="28">
        <v>223.2</v>
      </c>
      <c r="N47" s="28">
        <v>223.2</v>
      </c>
      <c r="O47" s="28">
        <v>223.2</v>
      </c>
      <c r="P47" s="28">
        <v>223.2</v>
      </c>
      <c r="Q47" s="28">
        <v>223.2</v>
      </c>
      <c r="R47" s="28">
        <v>223.2</v>
      </c>
      <c r="S47" s="28">
        <v>223.2</v>
      </c>
      <c r="T47" s="28">
        <v>223.2</v>
      </c>
      <c r="U47" s="28">
        <v>223.2</v>
      </c>
      <c r="V47" s="28">
        <v>223.2</v>
      </c>
      <c r="W47" s="28">
        <v>223.2</v>
      </c>
      <c r="X47" s="28">
        <v>223.2</v>
      </c>
      <c r="Y47" s="28">
        <v>223.2</v>
      </c>
      <c r="Z47" s="28">
        <v>223.2</v>
      </c>
      <c r="AA47" s="28">
        <v>223.2</v>
      </c>
      <c r="AB47" s="28">
        <v>223.2</v>
      </c>
      <c r="AC47" s="28">
        <v>223.2</v>
      </c>
      <c r="AD47" s="28">
        <v>223.2</v>
      </c>
      <c r="AE47" s="28">
        <v>223.2</v>
      </c>
      <c r="AF47" s="28">
        <v>223.2</v>
      </c>
      <c r="AG47" s="28">
        <v>223.2</v>
      </c>
      <c r="AH47" s="28">
        <v>223.2</v>
      </c>
      <c r="AI47" s="28">
        <v>223.2</v>
      </c>
      <c r="AJ47" s="28">
        <v>223.2</v>
      </c>
      <c r="AK47" s="28">
        <v>223.2</v>
      </c>
      <c r="AL47" s="28">
        <v>223.2</v>
      </c>
      <c r="AM47" s="28">
        <v>223.2</v>
      </c>
      <c r="AN47" s="28">
        <v>223.2</v>
      </c>
      <c r="AO47" s="28">
        <v>223.2</v>
      </c>
      <c r="AP47" s="28">
        <v>223.2</v>
      </c>
      <c r="AQ47" s="28">
        <v>223.2</v>
      </c>
      <c r="AR47" s="28">
        <v>223.2</v>
      </c>
      <c r="AS47" s="28">
        <v>223.2</v>
      </c>
      <c r="AT47" s="28">
        <v>223.2</v>
      </c>
      <c r="AU47" s="28">
        <v>223.2</v>
      </c>
      <c r="AV47" s="28">
        <v>223.2</v>
      </c>
      <c r="AW47" s="28">
        <v>223.2</v>
      </c>
      <c r="AX47" s="28">
        <v>223.2</v>
      </c>
      <c r="AY47" s="28">
        <v>223.2</v>
      </c>
      <c r="AZ47" s="28">
        <v>223.2</v>
      </c>
      <c r="BA47" s="28">
        <v>223.2</v>
      </c>
      <c r="BB47" s="28">
        <v>223.2</v>
      </c>
      <c r="BC47" s="28">
        <v>223.2</v>
      </c>
      <c r="BD47" s="28">
        <v>223.2</v>
      </c>
      <c r="BE47" s="28">
        <v>223.2</v>
      </c>
      <c r="BF47" s="28">
        <v>223.2</v>
      </c>
      <c r="BG47" s="28">
        <v>223.2</v>
      </c>
      <c r="BH47" s="28">
        <v>223.2</v>
      </c>
      <c r="BI47" s="28">
        <v>223.2</v>
      </c>
      <c r="BJ47" s="28">
        <v>223.2</v>
      </c>
    </row>
    <row r="48" spans="1:62" x14ac:dyDescent="0.25">
      <c r="A48" s="28">
        <v>229.2</v>
      </c>
      <c r="B48" s="28">
        <v>229.2</v>
      </c>
      <c r="C48" s="28">
        <v>229.2</v>
      </c>
      <c r="D48" s="28">
        <v>229.2</v>
      </c>
      <c r="E48" s="28">
        <v>229.2</v>
      </c>
      <c r="F48" s="28">
        <v>229.2</v>
      </c>
      <c r="G48" s="28">
        <v>229.2</v>
      </c>
      <c r="H48" s="28">
        <v>229.2</v>
      </c>
      <c r="I48" s="28">
        <v>229.2</v>
      </c>
      <c r="J48" s="28">
        <v>229.2</v>
      </c>
      <c r="K48" s="28">
        <v>229.2</v>
      </c>
      <c r="L48" s="28">
        <v>229.2</v>
      </c>
      <c r="M48" s="28">
        <v>229.2</v>
      </c>
      <c r="N48" s="28">
        <v>229.2</v>
      </c>
      <c r="O48" s="28">
        <v>229.2</v>
      </c>
      <c r="P48" s="28">
        <v>229.2</v>
      </c>
      <c r="Q48" s="28">
        <v>229.2</v>
      </c>
      <c r="R48" s="28">
        <v>229.2</v>
      </c>
      <c r="S48" s="28">
        <v>229.2</v>
      </c>
      <c r="T48" s="28">
        <v>229.2</v>
      </c>
      <c r="U48" s="28">
        <v>229.2</v>
      </c>
      <c r="V48" s="28">
        <v>229.2</v>
      </c>
      <c r="W48" s="28">
        <v>229.2</v>
      </c>
      <c r="X48" s="28">
        <v>229.2</v>
      </c>
      <c r="Y48" s="28">
        <v>229.2</v>
      </c>
      <c r="Z48" s="28">
        <v>229.2</v>
      </c>
      <c r="AA48" s="28">
        <v>229.2</v>
      </c>
      <c r="AB48" s="28">
        <v>229.2</v>
      </c>
      <c r="AC48" s="28">
        <v>229.2</v>
      </c>
      <c r="AD48" s="28">
        <v>229.2</v>
      </c>
      <c r="AE48" s="28">
        <v>229.2</v>
      </c>
      <c r="AF48" s="28">
        <v>229.2</v>
      </c>
      <c r="AG48" s="28">
        <v>229.2</v>
      </c>
      <c r="AH48" s="28">
        <v>229.2</v>
      </c>
      <c r="AI48" s="28">
        <v>229.2</v>
      </c>
      <c r="AJ48" s="28">
        <v>229.2</v>
      </c>
      <c r="AK48" s="28">
        <v>229.2</v>
      </c>
      <c r="AL48" s="28">
        <v>229.2</v>
      </c>
      <c r="AM48" s="28">
        <v>229.2</v>
      </c>
      <c r="AN48" s="28">
        <v>229.2</v>
      </c>
      <c r="AO48" s="28">
        <v>229.2</v>
      </c>
      <c r="AP48" s="28">
        <v>229.2</v>
      </c>
      <c r="AQ48" s="28">
        <v>229.2</v>
      </c>
      <c r="AR48" s="28">
        <v>229.2</v>
      </c>
      <c r="AS48" s="28">
        <v>229.2</v>
      </c>
      <c r="AT48" s="28">
        <v>229.2</v>
      </c>
      <c r="AU48" s="28">
        <v>229.2</v>
      </c>
      <c r="AV48" s="28">
        <v>229.2</v>
      </c>
      <c r="AW48" s="28">
        <v>229.2</v>
      </c>
      <c r="AX48" s="28">
        <v>229.2</v>
      </c>
      <c r="AY48" s="28">
        <v>229.2</v>
      </c>
      <c r="AZ48" s="28">
        <v>229.2</v>
      </c>
      <c r="BA48" s="28">
        <v>229.2</v>
      </c>
      <c r="BB48" s="28">
        <v>229.2</v>
      </c>
      <c r="BC48" s="28">
        <v>229.2</v>
      </c>
      <c r="BD48" s="28">
        <v>229.2</v>
      </c>
      <c r="BE48" s="28">
        <v>229.2</v>
      </c>
      <c r="BF48" s="28">
        <v>229.2</v>
      </c>
      <c r="BG48" s="28">
        <v>229.2</v>
      </c>
      <c r="BH48" s="28">
        <v>229.2</v>
      </c>
      <c r="BI48" s="28">
        <v>229.2</v>
      </c>
      <c r="BJ48" s="28">
        <v>229.2</v>
      </c>
    </row>
    <row r="49" spans="1:62" x14ac:dyDescent="0.25">
      <c r="A49" s="28">
        <v>226.79</v>
      </c>
      <c r="B49" s="28">
        <v>227.11</v>
      </c>
      <c r="C49" s="28">
        <v>227.29</v>
      </c>
      <c r="D49" s="28">
        <v>227.9</v>
      </c>
      <c r="E49" s="28">
        <v>226.8</v>
      </c>
      <c r="F49" s="28">
        <v>227.7</v>
      </c>
      <c r="G49" s="28">
        <v>226.9</v>
      </c>
      <c r="H49" s="28">
        <v>228.5</v>
      </c>
      <c r="I49" s="28">
        <v>228.8</v>
      </c>
      <c r="J49" s="28">
        <v>228.48</v>
      </c>
      <c r="K49" s="28">
        <v>226.73</v>
      </c>
      <c r="L49" s="28">
        <v>228.2</v>
      </c>
      <c r="M49" s="28">
        <v>228.02</v>
      </c>
      <c r="N49" s="28">
        <v>227.87</v>
      </c>
      <c r="O49" s="28">
        <v>227.22</v>
      </c>
      <c r="P49" s="28">
        <v>227.18</v>
      </c>
      <c r="Q49" s="28">
        <v>227.12</v>
      </c>
      <c r="R49" s="28">
        <v>227.52</v>
      </c>
      <c r="S49" s="28">
        <v>227.9</v>
      </c>
      <c r="T49" s="28">
        <v>227.9</v>
      </c>
      <c r="U49" s="28">
        <v>227.5</v>
      </c>
      <c r="V49" s="28">
        <v>226.39</v>
      </c>
      <c r="W49" s="28">
        <v>228.2</v>
      </c>
      <c r="X49" s="28">
        <v>226.9</v>
      </c>
      <c r="Y49" s="28">
        <v>227.9</v>
      </c>
      <c r="Z49" s="28">
        <v>227.71</v>
      </c>
      <c r="AA49" s="28">
        <v>227.71</v>
      </c>
      <c r="AB49" s="28">
        <v>226.8</v>
      </c>
      <c r="AC49" s="28">
        <v>227.41</v>
      </c>
      <c r="AD49" s="28">
        <v>227.45</v>
      </c>
      <c r="AE49" s="28">
        <v>227.78</v>
      </c>
      <c r="AF49" s="28">
        <v>226.88</v>
      </c>
      <c r="AG49" s="28">
        <v>227.96</v>
      </c>
      <c r="AH49" s="28">
        <v>227.93</v>
      </c>
      <c r="AI49" s="28">
        <v>228</v>
      </c>
      <c r="AJ49" s="28">
        <v>228.46</v>
      </c>
      <c r="AK49" s="28">
        <v>226.93</v>
      </c>
      <c r="AL49" s="28">
        <v>227.28</v>
      </c>
      <c r="AM49" s="28">
        <v>227.69</v>
      </c>
      <c r="AN49" s="28">
        <v>227.78</v>
      </c>
      <c r="AO49" s="28">
        <v>227.29</v>
      </c>
      <c r="AP49" s="28">
        <v>228.11</v>
      </c>
      <c r="AQ49" s="28">
        <v>227.98</v>
      </c>
      <c r="AR49" s="28">
        <v>228.38</v>
      </c>
      <c r="AS49" s="28">
        <v>228.11</v>
      </c>
      <c r="AT49" s="28">
        <v>228.42</v>
      </c>
      <c r="AU49" s="28">
        <v>227.19</v>
      </c>
      <c r="AV49" s="28">
        <v>228.19</v>
      </c>
      <c r="AW49" s="28">
        <v>227.68</v>
      </c>
      <c r="AX49" s="28">
        <v>228.21</v>
      </c>
      <c r="AY49" s="28">
        <v>228.51</v>
      </c>
      <c r="AZ49" s="28">
        <v>228.2</v>
      </c>
      <c r="BA49" s="28">
        <v>228.46</v>
      </c>
      <c r="BB49" s="28">
        <v>227.8</v>
      </c>
      <c r="BC49" s="28">
        <v>228.53</v>
      </c>
      <c r="BD49" s="28">
        <v>228.5</v>
      </c>
      <c r="BE49" s="28">
        <v>227.45</v>
      </c>
      <c r="BF49" s="28">
        <v>228.39</v>
      </c>
      <c r="BG49" s="28">
        <v>228.89</v>
      </c>
      <c r="BH49" s="28">
        <v>228.41</v>
      </c>
      <c r="BI49" s="28">
        <v>226.93</v>
      </c>
      <c r="BJ49" s="28">
        <v>227.77</v>
      </c>
    </row>
    <row r="50" spans="1:62" x14ac:dyDescent="0.25">
      <c r="A50" s="28" t="s">
        <v>30</v>
      </c>
      <c r="B50" s="28" t="s">
        <v>31</v>
      </c>
      <c r="C50" s="28" t="s">
        <v>32</v>
      </c>
      <c r="D50" s="28" t="s">
        <v>33</v>
      </c>
      <c r="E50" s="28" t="s">
        <v>46</v>
      </c>
      <c r="F50" s="28" t="s">
        <v>47</v>
      </c>
      <c r="G50" s="28" t="s">
        <v>18</v>
      </c>
      <c r="H50" s="28">
        <v>62</v>
      </c>
    </row>
    <row r="51" spans="1:62" x14ac:dyDescent="0.25">
      <c r="A51" s="5">
        <v>46169</v>
      </c>
      <c r="B51" s="5">
        <v>46169</v>
      </c>
      <c r="C51" s="5">
        <v>46169</v>
      </c>
      <c r="D51" s="5">
        <v>46169</v>
      </c>
      <c r="E51" s="5">
        <v>46170</v>
      </c>
      <c r="F51" s="5">
        <v>46170</v>
      </c>
      <c r="G51" s="5">
        <v>46171</v>
      </c>
      <c r="H51" s="5">
        <v>46171</v>
      </c>
      <c r="I51" s="5">
        <v>46171</v>
      </c>
      <c r="J51" s="5">
        <v>46171</v>
      </c>
      <c r="K51" s="5">
        <v>46172</v>
      </c>
      <c r="L51" s="5">
        <v>46172</v>
      </c>
      <c r="M51" s="5">
        <v>46172</v>
      </c>
      <c r="N51" s="5">
        <v>46174</v>
      </c>
      <c r="O51" s="5">
        <v>46174</v>
      </c>
      <c r="P51" s="5">
        <v>46174</v>
      </c>
      <c r="Q51" s="5">
        <v>46174</v>
      </c>
      <c r="R51" s="5">
        <v>46175</v>
      </c>
      <c r="S51" s="5">
        <v>46175</v>
      </c>
      <c r="T51" s="5">
        <v>46175</v>
      </c>
      <c r="U51" s="5">
        <v>46176</v>
      </c>
      <c r="V51" s="5">
        <v>46176</v>
      </c>
      <c r="W51" s="5">
        <v>46176</v>
      </c>
      <c r="X51" s="5">
        <v>46176</v>
      </c>
      <c r="Y51" s="5">
        <v>46176</v>
      </c>
      <c r="Z51" s="5">
        <v>46176</v>
      </c>
      <c r="AA51" s="5">
        <v>46176</v>
      </c>
      <c r="AB51" s="5">
        <v>46177</v>
      </c>
      <c r="AC51" s="5">
        <v>46178</v>
      </c>
      <c r="AD51" s="5">
        <v>46178</v>
      </c>
      <c r="AE51" s="5">
        <v>46178</v>
      </c>
      <c r="AF51" s="5">
        <v>46179</v>
      </c>
      <c r="AG51" s="5">
        <v>46180</v>
      </c>
      <c r="AH51" s="5">
        <v>46180</v>
      </c>
      <c r="AI51" s="5">
        <v>46180</v>
      </c>
      <c r="AJ51" s="5">
        <v>46180</v>
      </c>
      <c r="AK51" s="5">
        <v>46181</v>
      </c>
      <c r="AL51" s="5">
        <v>46181</v>
      </c>
      <c r="AM51" s="5">
        <v>46181</v>
      </c>
      <c r="AN51" s="5">
        <v>46181</v>
      </c>
      <c r="AO51" s="5">
        <v>46181</v>
      </c>
      <c r="AP51" s="5">
        <v>46182</v>
      </c>
      <c r="AQ51" s="5">
        <v>46182</v>
      </c>
      <c r="AR51" s="5">
        <v>46182</v>
      </c>
      <c r="AS51" s="5">
        <v>46182</v>
      </c>
      <c r="AT51" s="5">
        <v>46182</v>
      </c>
      <c r="AU51" s="5">
        <v>46183</v>
      </c>
      <c r="AV51" s="5">
        <v>46183</v>
      </c>
      <c r="AW51" s="5">
        <v>46183</v>
      </c>
      <c r="AX51" s="5">
        <v>46183</v>
      </c>
      <c r="AY51" s="5">
        <v>46183</v>
      </c>
      <c r="AZ51" s="5">
        <v>46184</v>
      </c>
      <c r="BA51" s="5">
        <v>46184</v>
      </c>
      <c r="BB51" s="5">
        <v>46184</v>
      </c>
      <c r="BC51" s="5">
        <v>46184</v>
      </c>
      <c r="BD51" s="5">
        <v>46184</v>
      </c>
      <c r="BE51" s="5">
        <v>46185</v>
      </c>
      <c r="BF51" s="5">
        <v>46185</v>
      </c>
      <c r="BG51" s="5">
        <v>46185</v>
      </c>
      <c r="BH51" s="5">
        <v>46185</v>
      </c>
      <c r="BI51" s="5">
        <v>46186</v>
      </c>
      <c r="BJ51" s="5">
        <v>46186</v>
      </c>
    </row>
    <row r="52" spans="1:62" x14ac:dyDescent="0.25">
      <c r="A52" s="28">
        <v>816948</v>
      </c>
      <c r="B52" s="28">
        <v>816987</v>
      </c>
      <c r="C52" s="28">
        <v>816998</v>
      </c>
      <c r="D52" s="28">
        <v>817092</v>
      </c>
      <c r="E52" s="28">
        <v>817353</v>
      </c>
      <c r="F52" s="28">
        <v>817441</v>
      </c>
      <c r="G52" s="28">
        <v>817773</v>
      </c>
      <c r="H52" s="28">
        <v>817861</v>
      </c>
      <c r="I52" s="28">
        <v>817943</v>
      </c>
      <c r="J52" s="28">
        <v>817985</v>
      </c>
      <c r="K52" s="28">
        <v>818214</v>
      </c>
      <c r="L52" s="28">
        <v>818254</v>
      </c>
      <c r="M52" s="28">
        <v>818291</v>
      </c>
      <c r="N52" s="28">
        <v>818439</v>
      </c>
      <c r="O52" s="28">
        <v>818580</v>
      </c>
      <c r="P52" s="28">
        <v>818627</v>
      </c>
      <c r="Q52" s="28">
        <v>818667</v>
      </c>
      <c r="R52" s="28">
        <v>818839</v>
      </c>
      <c r="S52" s="28">
        <v>818934</v>
      </c>
      <c r="T52" s="28">
        <v>819019</v>
      </c>
      <c r="U52" s="28">
        <v>819103</v>
      </c>
      <c r="V52" s="28">
        <v>819271</v>
      </c>
      <c r="W52" s="28">
        <v>819315</v>
      </c>
      <c r="X52" s="28">
        <v>819370</v>
      </c>
      <c r="Y52" s="28">
        <v>819445</v>
      </c>
      <c r="Z52" s="28">
        <v>819491</v>
      </c>
      <c r="AA52" s="28">
        <v>819533</v>
      </c>
      <c r="AB52" s="28">
        <v>819706</v>
      </c>
      <c r="AC52" s="28">
        <v>819995</v>
      </c>
      <c r="AD52" s="28">
        <v>820041</v>
      </c>
      <c r="AE52" s="28">
        <v>820088</v>
      </c>
      <c r="AF52" s="28">
        <v>820271</v>
      </c>
      <c r="AG52" s="28">
        <v>820495</v>
      </c>
      <c r="AH52" s="28">
        <v>820568</v>
      </c>
      <c r="AI52" s="28">
        <v>820630</v>
      </c>
      <c r="AJ52" s="28">
        <v>820670</v>
      </c>
      <c r="AK52" s="28">
        <v>820873</v>
      </c>
      <c r="AL52" s="28">
        <v>820921</v>
      </c>
      <c r="AM52" s="28">
        <v>820957</v>
      </c>
      <c r="AN52" s="28">
        <v>821024</v>
      </c>
      <c r="AO52" s="28">
        <v>821060</v>
      </c>
      <c r="AP52" s="28">
        <v>821288</v>
      </c>
      <c r="AQ52" s="28">
        <v>821319</v>
      </c>
      <c r="AR52" s="28">
        <v>821356</v>
      </c>
      <c r="AS52" s="28">
        <v>821451</v>
      </c>
      <c r="AT52" s="28">
        <v>821500</v>
      </c>
      <c r="AU52" s="28">
        <v>821710</v>
      </c>
      <c r="AV52" s="28">
        <v>821754</v>
      </c>
      <c r="AW52" s="28">
        <v>821805</v>
      </c>
      <c r="AX52" s="28">
        <v>821885</v>
      </c>
      <c r="AY52" s="28">
        <v>821931</v>
      </c>
      <c r="AZ52" s="28">
        <v>822143</v>
      </c>
      <c r="BA52" s="28">
        <v>822185</v>
      </c>
      <c r="BB52" s="28">
        <v>822236</v>
      </c>
      <c r="BC52" s="28">
        <v>822306</v>
      </c>
      <c r="BD52" s="28">
        <v>822352</v>
      </c>
      <c r="BE52" s="28">
        <v>822558</v>
      </c>
      <c r="BF52" s="28">
        <v>822647</v>
      </c>
      <c r="BG52" s="28">
        <v>822737</v>
      </c>
      <c r="BH52" s="28">
        <v>822777</v>
      </c>
      <c r="BI52" s="28">
        <v>823003</v>
      </c>
      <c r="BJ52" s="28">
        <v>823082</v>
      </c>
    </row>
    <row r="53" spans="1:62" x14ac:dyDescent="0.25">
      <c r="A53" s="28">
        <v>449</v>
      </c>
      <c r="B53" s="28">
        <v>449</v>
      </c>
      <c r="C53" s="28">
        <v>449</v>
      </c>
      <c r="D53" s="28">
        <v>449</v>
      </c>
      <c r="E53" s="28">
        <v>449</v>
      </c>
      <c r="F53" s="28">
        <v>449</v>
      </c>
      <c r="G53" s="28">
        <v>449</v>
      </c>
      <c r="H53" s="28">
        <v>449</v>
      </c>
      <c r="I53" s="28">
        <v>449</v>
      </c>
      <c r="J53" s="28">
        <v>449</v>
      </c>
      <c r="K53" s="28">
        <v>449</v>
      </c>
      <c r="L53" s="28">
        <v>449</v>
      </c>
      <c r="M53" s="28">
        <v>449</v>
      </c>
      <c r="N53" s="28">
        <v>449</v>
      </c>
      <c r="O53" s="28">
        <v>449</v>
      </c>
      <c r="P53" s="28">
        <v>449</v>
      </c>
      <c r="Q53" s="28">
        <v>449</v>
      </c>
      <c r="R53" s="28">
        <v>449</v>
      </c>
      <c r="S53" s="28">
        <v>449</v>
      </c>
      <c r="T53" s="28">
        <v>449</v>
      </c>
      <c r="U53" s="28">
        <v>449</v>
      </c>
      <c r="V53" s="28">
        <v>449</v>
      </c>
      <c r="W53" s="28">
        <v>449</v>
      </c>
      <c r="X53" s="28">
        <v>449</v>
      </c>
      <c r="Y53" s="28">
        <v>449</v>
      </c>
      <c r="Z53" s="28">
        <v>449</v>
      </c>
      <c r="AA53" s="28">
        <v>449</v>
      </c>
      <c r="AB53" s="28">
        <v>449</v>
      </c>
      <c r="AC53" s="28">
        <v>449</v>
      </c>
      <c r="AD53" s="28">
        <v>449</v>
      </c>
      <c r="AE53" s="28">
        <v>449</v>
      </c>
      <c r="AF53" s="28">
        <v>449</v>
      </c>
      <c r="AG53" s="28">
        <v>449</v>
      </c>
      <c r="AH53" s="28">
        <v>449</v>
      </c>
      <c r="AI53" s="28">
        <v>449</v>
      </c>
      <c r="AJ53" s="28">
        <v>449</v>
      </c>
      <c r="AK53" s="28">
        <v>449</v>
      </c>
      <c r="AL53" s="28">
        <v>449</v>
      </c>
      <c r="AM53" s="28">
        <v>449</v>
      </c>
      <c r="AN53" s="28">
        <v>449</v>
      </c>
      <c r="AO53" s="28">
        <v>449</v>
      </c>
      <c r="AP53" s="28">
        <v>449</v>
      </c>
      <c r="AQ53" s="28">
        <v>449</v>
      </c>
      <c r="AR53" s="28">
        <v>449</v>
      </c>
      <c r="AS53" s="28">
        <v>449</v>
      </c>
      <c r="AT53" s="28">
        <v>449</v>
      </c>
      <c r="AU53" s="28">
        <v>449</v>
      </c>
      <c r="AV53" s="28">
        <v>449</v>
      </c>
      <c r="AW53" s="28">
        <v>449</v>
      </c>
      <c r="AX53" s="28">
        <v>449</v>
      </c>
      <c r="AY53" s="28">
        <v>449</v>
      </c>
      <c r="AZ53" s="28">
        <v>449</v>
      </c>
      <c r="BA53" s="28">
        <v>449</v>
      </c>
      <c r="BB53" s="28">
        <v>449</v>
      </c>
      <c r="BC53" s="28">
        <v>449</v>
      </c>
      <c r="BD53" s="28">
        <v>449</v>
      </c>
      <c r="BE53" s="28">
        <v>449</v>
      </c>
      <c r="BF53" s="28">
        <v>449</v>
      </c>
      <c r="BG53" s="28">
        <v>449</v>
      </c>
      <c r="BH53" s="28">
        <v>449</v>
      </c>
      <c r="BI53" s="28">
        <v>449</v>
      </c>
      <c r="BJ53" s="28">
        <v>449</v>
      </c>
    </row>
    <row r="54" spans="1:62" x14ac:dyDescent="0.25">
      <c r="A54" s="28">
        <v>446</v>
      </c>
      <c r="B54" s="28">
        <v>446</v>
      </c>
      <c r="C54" s="28">
        <v>446</v>
      </c>
      <c r="D54" s="28">
        <v>446</v>
      </c>
      <c r="E54" s="28">
        <v>446</v>
      </c>
      <c r="F54" s="28">
        <v>446</v>
      </c>
      <c r="G54" s="28">
        <v>446</v>
      </c>
      <c r="H54" s="28">
        <v>446</v>
      </c>
      <c r="I54" s="28">
        <v>446</v>
      </c>
      <c r="J54" s="28">
        <v>446</v>
      </c>
      <c r="K54" s="28">
        <v>446</v>
      </c>
      <c r="L54" s="28">
        <v>446</v>
      </c>
      <c r="M54" s="28">
        <v>446</v>
      </c>
      <c r="N54" s="28">
        <v>446</v>
      </c>
      <c r="O54" s="28">
        <v>446</v>
      </c>
      <c r="P54" s="28">
        <v>446</v>
      </c>
      <c r="Q54" s="28">
        <v>446</v>
      </c>
      <c r="R54" s="28">
        <v>446</v>
      </c>
      <c r="S54" s="28">
        <v>446</v>
      </c>
      <c r="T54" s="28">
        <v>446</v>
      </c>
      <c r="U54" s="28">
        <v>446</v>
      </c>
      <c r="V54" s="28">
        <v>446</v>
      </c>
      <c r="W54" s="28">
        <v>446</v>
      </c>
      <c r="X54" s="28">
        <v>446</v>
      </c>
      <c r="Y54" s="28">
        <v>446</v>
      </c>
      <c r="Z54" s="28">
        <v>446</v>
      </c>
      <c r="AA54" s="28">
        <v>446</v>
      </c>
      <c r="AB54" s="28">
        <v>446</v>
      </c>
      <c r="AC54" s="28">
        <v>446</v>
      </c>
      <c r="AD54" s="28">
        <v>446</v>
      </c>
      <c r="AE54" s="28">
        <v>446</v>
      </c>
      <c r="AF54" s="28">
        <v>446</v>
      </c>
      <c r="AG54" s="28">
        <v>446</v>
      </c>
      <c r="AH54" s="28">
        <v>446</v>
      </c>
      <c r="AI54" s="28">
        <v>446</v>
      </c>
      <c r="AJ54" s="28">
        <v>446</v>
      </c>
      <c r="AK54" s="28">
        <v>446</v>
      </c>
      <c r="AL54" s="28">
        <v>446</v>
      </c>
      <c r="AM54" s="28">
        <v>446</v>
      </c>
      <c r="AN54" s="28">
        <v>446</v>
      </c>
      <c r="AO54" s="28">
        <v>446</v>
      </c>
      <c r="AP54" s="28">
        <v>446</v>
      </c>
      <c r="AQ54" s="28">
        <v>446</v>
      </c>
      <c r="AR54" s="28">
        <v>446</v>
      </c>
      <c r="AS54" s="28">
        <v>446</v>
      </c>
      <c r="AT54" s="28">
        <v>446</v>
      </c>
      <c r="AU54" s="28">
        <v>446</v>
      </c>
      <c r="AV54" s="28">
        <v>446</v>
      </c>
      <c r="AW54" s="28">
        <v>446</v>
      </c>
      <c r="AX54" s="28">
        <v>446</v>
      </c>
      <c r="AY54" s="28">
        <v>446</v>
      </c>
      <c r="AZ54" s="28">
        <v>446</v>
      </c>
      <c r="BA54" s="28">
        <v>446</v>
      </c>
      <c r="BB54" s="28">
        <v>446</v>
      </c>
      <c r="BC54" s="28">
        <v>446</v>
      </c>
      <c r="BD54" s="28">
        <v>446</v>
      </c>
      <c r="BE54" s="28">
        <v>446</v>
      </c>
      <c r="BF54" s="28">
        <v>446</v>
      </c>
      <c r="BG54" s="28">
        <v>446</v>
      </c>
      <c r="BH54" s="28">
        <v>446</v>
      </c>
      <c r="BI54" s="28">
        <v>446</v>
      </c>
      <c r="BJ54" s="28">
        <v>446</v>
      </c>
    </row>
    <row r="55" spans="1:62" x14ac:dyDescent="0.25">
      <c r="A55" s="28">
        <v>452</v>
      </c>
      <c r="B55" s="28">
        <v>452</v>
      </c>
      <c r="C55" s="28">
        <v>452</v>
      </c>
      <c r="D55" s="28">
        <v>452</v>
      </c>
      <c r="E55" s="28">
        <v>452</v>
      </c>
      <c r="F55" s="28">
        <v>452</v>
      </c>
      <c r="G55" s="28">
        <v>452</v>
      </c>
      <c r="H55" s="28">
        <v>452</v>
      </c>
      <c r="I55" s="28">
        <v>452</v>
      </c>
      <c r="J55" s="28">
        <v>452</v>
      </c>
      <c r="K55" s="28">
        <v>452</v>
      </c>
      <c r="L55" s="28">
        <v>452</v>
      </c>
      <c r="M55" s="28">
        <v>452</v>
      </c>
      <c r="N55" s="28">
        <v>452</v>
      </c>
      <c r="O55" s="28">
        <v>452</v>
      </c>
      <c r="P55" s="28">
        <v>452</v>
      </c>
      <c r="Q55" s="28">
        <v>452</v>
      </c>
      <c r="R55" s="28">
        <v>452</v>
      </c>
      <c r="S55" s="28">
        <v>452</v>
      </c>
      <c r="T55" s="28">
        <v>452</v>
      </c>
      <c r="U55" s="28">
        <v>452</v>
      </c>
      <c r="V55" s="28">
        <v>452</v>
      </c>
      <c r="W55" s="28">
        <v>452</v>
      </c>
      <c r="X55" s="28">
        <v>452</v>
      </c>
      <c r="Y55" s="28">
        <v>452</v>
      </c>
      <c r="Z55" s="28">
        <v>452</v>
      </c>
      <c r="AA55" s="28">
        <v>452</v>
      </c>
      <c r="AB55" s="28">
        <v>452</v>
      </c>
      <c r="AC55" s="28">
        <v>452</v>
      </c>
      <c r="AD55" s="28">
        <v>452</v>
      </c>
      <c r="AE55" s="28">
        <v>452</v>
      </c>
      <c r="AF55" s="28">
        <v>452</v>
      </c>
      <c r="AG55" s="28">
        <v>452</v>
      </c>
      <c r="AH55" s="28">
        <v>452</v>
      </c>
      <c r="AI55" s="28">
        <v>452</v>
      </c>
      <c r="AJ55" s="28">
        <v>452</v>
      </c>
      <c r="AK55" s="28">
        <v>452</v>
      </c>
      <c r="AL55" s="28">
        <v>452</v>
      </c>
      <c r="AM55" s="28">
        <v>452</v>
      </c>
      <c r="AN55" s="28">
        <v>452</v>
      </c>
      <c r="AO55" s="28">
        <v>452</v>
      </c>
      <c r="AP55" s="28">
        <v>452</v>
      </c>
      <c r="AQ55" s="28">
        <v>452</v>
      </c>
      <c r="AR55" s="28">
        <v>452</v>
      </c>
      <c r="AS55" s="28">
        <v>452</v>
      </c>
      <c r="AT55" s="28">
        <v>452</v>
      </c>
      <c r="AU55" s="28">
        <v>452</v>
      </c>
      <c r="AV55" s="28">
        <v>452</v>
      </c>
      <c r="AW55" s="28">
        <v>452</v>
      </c>
      <c r="AX55" s="28">
        <v>452</v>
      </c>
      <c r="AY55" s="28">
        <v>452</v>
      </c>
      <c r="AZ55" s="28">
        <v>452</v>
      </c>
      <c r="BA55" s="28">
        <v>452</v>
      </c>
      <c r="BB55" s="28">
        <v>452</v>
      </c>
      <c r="BC55" s="28">
        <v>452</v>
      </c>
      <c r="BD55" s="28">
        <v>452</v>
      </c>
      <c r="BE55" s="28">
        <v>452</v>
      </c>
      <c r="BF55" s="28">
        <v>452</v>
      </c>
      <c r="BG55" s="28">
        <v>452</v>
      </c>
      <c r="BH55" s="28">
        <v>452</v>
      </c>
      <c r="BI55" s="28">
        <v>452</v>
      </c>
      <c r="BJ55" s="28">
        <v>452</v>
      </c>
    </row>
    <row r="56" spans="1:62" x14ac:dyDescent="0.25">
      <c r="A56" s="28">
        <v>450.25</v>
      </c>
      <c r="B56" s="28">
        <v>448.85</v>
      </c>
      <c r="C56" s="28">
        <v>449.84</v>
      </c>
      <c r="D56" s="28">
        <v>449.7</v>
      </c>
      <c r="E56" s="28">
        <v>449.4</v>
      </c>
      <c r="F56" s="28">
        <v>449.1</v>
      </c>
      <c r="G56" s="28">
        <v>450.3</v>
      </c>
      <c r="H56" s="28">
        <v>449.4</v>
      </c>
      <c r="I56" s="28">
        <v>450.2</v>
      </c>
      <c r="J56" s="28">
        <v>451.11</v>
      </c>
      <c r="K56" s="28">
        <v>448.74</v>
      </c>
      <c r="L56" s="28">
        <v>448.55</v>
      </c>
      <c r="M56" s="28">
        <v>450.51</v>
      </c>
      <c r="N56" s="28">
        <v>450.64</v>
      </c>
      <c r="O56" s="28">
        <v>448.88</v>
      </c>
      <c r="P56" s="28">
        <v>448.42</v>
      </c>
      <c r="Q56" s="28">
        <v>448.44</v>
      </c>
      <c r="R56" s="28">
        <v>449.6</v>
      </c>
      <c r="S56" s="28">
        <v>449.9</v>
      </c>
      <c r="T56" s="28">
        <v>448.7</v>
      </c>
      <c r="U56" s="28">
        <v>448.3</v>
      </c>
      <c r="V56" s="28">
        <v>450.95</v>
      </c>
      <c r="W56" s="28">
        <v>449.1</v>
      </c>
      <c r="X56" s="28">
        <v>449.5</v>
      </c>
      <c r="Y56" s="28">
        <v>449.6</v>
      </c>
      <c r="Z56" s="28">
        <v>448.39</v>
      </c>
      <c r="AA56" s="28">
        <v>449.66</v>
      </c>
      <c r="AB56" s="28">
        <v>449.56</v>
      </c>
      <c r="AC56" s="28">
        <v>449.06</v>
      </c>
      <c r="AD56" s="28">
        <v>449.39</v>
      </c>
      <c r="AE56" s="28">
        <v>448.9</v>
      </c>
      <c r="AF56" s="28">
        <v>448.99</v>
      </c>
      <c r="AG56" s="28">
        <v>449.3</v>
      </c>
      <c r="AH56" s="28">
        <v>450.06</v>
      </c>
      <c r="AI56" s="28">
        <v>449.8</v>
      </c>
      <c r="AJ56" s="28">
        <v>449.74</v>
      </c>
      <c r="AK56" s="28">
        <v>449.66</v>
      </c>
      <c r="AL56" s="28">
        <v>449.5</v>
      </c>
      <c r="AM56" s="28">
        <v>450.23</v>
      </c>
      <c r="AN56" s="28">
        <v>450.03</v>
      </c>
      <c r="AO56" s="28">
        <v>449.73</v>
      </c>
      <c r="AP56" s="28">
        <v>451.65</v>
      </c>
      <c r="AQ56" s="28">
        <v>450.6</v>
      </c>
      <c r="AR56" s="28">
        <v>450.31</v>
      </c>
      <c r="AS56" s="28">
        <v>449.5</v>
      </c>
      <c r="AT56" s="28">
        <v>450.59</v>
      </c>
      <c r="AU56" s="28">
        <v>449.89</v>
      </c>
      <c r="AV56" s="28">
        <v>449.56</v>
      </c>
      <c r="AW56" s="28">
        <v>449.15</v>
      </c>
      <c r="AX56" s="28">
        <v>450.33</v>
      </c>
      <c r="AY56" s="28">
        <v>450.92</v>
      </c>
      <c r="AZ56" s="28">
        <v>450.35</v>
      </c>
      <c r="BA56" s="28">
        <v>450.06</v>
      </c>
      <c r="BB56" s="28">
        <v>449.17</v>
      </c>
      <c r="BC56" s="28">
        <v>449.85</v>
      </c>
      <c r="BD56" s="28">
        <v>449.64</v>
      </c>
      <c r="BE56" s="28">
        <v>449.1</v>
      </c>
      <c r="BF56" s="28">
        <v>449.9</v>
      </c>
      <c r="BG56" s="28">
        <v>450.23</v>
      </c>
      <c r="BH56" s="28">
        <v>450.99</v>
      </c>
      <c r="BI56" s="28">
        <v>450.03</v>
      </c>
      <c r="BJ56" s="28">
        <v>448.84</v>
      </c>
    </row>
    <row r="57" spans="1:62" x14ac:dyDescent="0.25">
      <c r="A57" s="28" t="s">
        <v>30</v>
      </c>
      <c r="B57" s="28" t="s">
        <v>31</v>
      </c>
      <c r="C57" s="28" t="s">
        <v>32</v>
      </c>
      <c r="D57" s="28" t="s">
        <v>33</v>
      </c>
      <c r="E57" s="28" t="s">
        <v>48</v>
      </c>
      <c r="F57" s="28" t="s">
        <v>49</v>
      </c>
      <c r="G57" s="28" t="s">
        <v>23</v>
      </c>
      <c r="H57" s="28">
        <v>62</v>
      </c>
    </row>
    <row r="58" spans="1:62" x14ac:dyDescent="0.25">
      <c r="A58" s="5">
        <v>46169</v>
      </c>
      <c r="B58" s="5">
        <v>46169</v>
      </c>
      <c r="C58" s="5">
        <v>46169</v>
      </c>
      <c r="D58" s="5">
        <v>46169</v>
      </c>
      <c r="E58" s="5">
        <v>46170</v>
      </c>
      <c r="F58" s="5">
        <v>46170</v>
      </c>
      <c r="G58" s="5">
        <v>46171</v>
      </c>
      <c r="H58" s="5">
        <v>46171</v>
      </c>
      <c r="I58" s="5">
        <v>46171</v>
      </c>
      <c r="J58" s="5">
        <v>46171</v>
      </c>
      <c r="K58" s="5">
        <v>46172</v>
      </c>
      <c r="L58" s="5">
        <v>46172</v>
      </c>
      <c r="M58" s="5">
        <v>46172</v>
      </c>
      <c r="N58" s="5">
        <v>46174</v>
      </c>
      <c r="O58" s="5">
        <v>46174</v>
      </c>
      <c r="P58" s="5">
        <v>46174</v>
      </c>
      <c r="Q58" s="5">
        <v>46174</v>
      </c>
      <c r="R58" s="5">
        <v>46175</v>
      </c>
      <c r="S58" s="5">
        <v>46175</v>
      </c>
      <c r="T58" s="5">
        <v>46175</v>
      </c>
      <c r="U58" s="5">
        <v>46176</v>
      </c>
      <c r="V58" s="5">
        <v>46176</v>
      </c>
      <c r="W58" s="5">
        <v>46176</v>
      </c>
      <c r="X58" s="5">
        <v>46176</v>
      </c>
      <c r="Y58" s="5">
        <v>46176</v>
      </c>
      <c r="Z58" s="5">
        <v>46176</v>
      </c>
      <c r="AA58" s="5">
        <v>46176</v>
      </c>
      <c r="AB58" s="5">
        <v>46177</v>
      </c>
      <c r="AC58" s="5">
        <v>46178</v>
      </c>
      <c r="AD58" s="5">
        <v>46178</v>
      </c>
      <c r="AE58" s="5">
        <v>46178</v>
      </c>
      <c r="AF58" s="5">
        <v>46179</v>
      </c>
      <c r="AG58" s="5">
        <v>46180</v>
      </c>
      <c r="AH58" s="5">
        <v>46180</v>
      </c>
      <c r="AI58" s="5">
        <v>46180</v>
      </c>
      <c r="AJ58" s="5">
        <v>46180</v>
      </c>
      <c r="AK58" s="5">
        <v>46181</v>
      </c>
      <c r="AL58" s="5">
        <v>46181</v>
      </c>
      <c r="AM58" s="5">
        <v>46181</v>
      </c>
      <c r="AN58" s="5">
        <v>46181</v>
      </c>
      <c r="AO58" s="5">
        <v>46181</v>
      </c>
      <c r="AP58" s="5">
        <v>46182</v>
      </c>
      <c r="AQ58" s="5">
        <v>46182</v>
      </c>
      <c r="AR58" s="5">
        <v>46182</v>
      </c>
      <c r="AS58" s="5">
        <v>46182</v>
      </c>
      <c r="AT58" s="5">
        <v>46182</v>
      </c>
      <c r="AU58" s="5">
        <v>46183</v>
      </c>
      <c r="AV58" s="5">
        <v>46183</v>
      </c>
      <c r="AW58" s="5">
        <v>46183</v>
      </c>
      <c r="AX58" s="5">
        <v>46183</v>
      </c>
      <c r="AY58" s="5">
        <v>46183</v>
      </c>
      <c r="AZ58" s="5">
        <v>46184</v>
      </c>
      <c r="BA58" s="5">
        <v>46184</v>
      </c>
      <c r="BB58" s="5">
        <v>46184</v>
      </c>
      <c r="BC58" s="5">
        <v>46184</v>
      </c>
      <c r="BD58" s="5">
        <v>46184</v>
      </c>
      <c r="BE58" s="5">
        <v>46185</v>
      </c>
      <c r="BF58" s="5">
        <v>46185</v>
      </c>
      <c r="BG58" s="5">
        <v>46185</v>
      </c>
      <c r="BH58" s="5">
        <v>46185</v>
      </c>
      <c r="BI58" s="5">
        <v>46186</v>
      </c>
      <c r="BJ58" s="5">
        <v>46186</v>
      </c>
    </row>
    <row r="59" spans="1:62" x14ac:dyDescent="0.25">
      <c r="A59" s="28">
        <v>816948</v>
      </c>
      <c r="B59" s="28">
        <v>816987</v>
      </c>
      <c r="C59" s="28">
        <v>816998</v>
      </c>
      <c r="D59" s="28">
        <v>817092</v>
      </c>
      <c r="E59" s="28">
        <v>817353</v>
      </c>
      <c r="F59" s="28">
        <v>817441</v>
      </c>
      <c r="G59" s="28">
        <v>817773</v>
      </c>
      <c r="H59" s="28">
        <v>817861</v>
      </c>
      <c r="I59" s="28">
        <v>817943</v>
      </c>
      <c r="J59" s="28">
        <v>817985</v>
      </c>
      <c r="K59" s="28">
        <v>818214</v>
      </c>
      <c r="L59" s="28">
        <v>818254</v>
      </c>
      <c r="M59" s="28">
        <v>818291</v>
      </c>
      <c r="N59" s="28">
        <v>818439</v>
      </c>
      <c r="O59" s="28">
        <v>818580</v>
      </c>
      <c r="P59" s="28">
        <v>818627</v>
      </c>
      <c r="Q59" s="28">
        <v>818667</v>
      </c>
      <c r="R59" s="28">
        <v>818839</v>
      </c>
      <c r="S59" s="28">
        <v>818934</v>
      </c>
      <c r="T59" s="28">
        <v>819019</v>
      </c>
      <c r="U59" s="28">
        <v>819103</v>
      </c>
      <c r="V59" s="28">
        <v>819271</v>
      </c>
      <c r="W59" s="28">
        <v>819315</v>
      </c>
      <c r="X59" s="28">
        <v>819370</v>
      </c>
      <c r="Y59" s="28">
        <v>819445</v>
      </c>
      <c r="Z59" s="28">
        <v>819491</v>
      </c>
      <c r="AA59" s="28">
        <v>819533</v>
      </c>
      <c r="AB59" s="28">
        <v>819706</v>
      </c>
      <c r="AC59" s="28">
        <v>819995</v>
      </c>
      <c r="AD59" s="28">
        <v>820041</v>
      </c>
      <c r="AE59" s="28">
        <v>820088</v>
      </c>
      <c r="AF59" s="28">
        <v>820271</v>
      </c>
      <c r="AG59" s="28">
        <v>820495</v>
      </c>
      <c r="AH59" s="28">
        <v>820568</v>
      </c>
      <c r="AI59" s="28">
        <v>820630</v>
      </c>
      <c r="AJ59" s="28">
        <v>820670</v>
      </c>
      <c r="AK59" s="28">
        <v>820873</v>
      </c>
      <c r="AL59" s="28">
        <v>820921</v>
      </c>
      <c r="AM59" s="28">
        <v>820957</v>
      </c>
      <c r="AN59" s="28">
        <v>821024</v>
      </c>
      <c r="AO59" s="28">
        <v>821060</v>
      </c>
      <c r="AP59" s="28">
        <v>821288</v>
      </c>
      <c r="AQ59" s="28">
        <v>821319</v>
      </c>
      <c r="AR59" s="28">
        <v>821356</v>
      </c>
      <c r="AS59" s="28">
        <v>821451</v>
      </c>
      <c r="AT59" s="28">
        <v>821500</v>
      </c>
      <c r="AU59" s="28">
        <v>821710</v>
      </c>
      <c r="AV59" s="28">
        <v>821754</v>
      </c>
      <c r="AW59" s="28">
        <v>821805</v>
      </c>
      <c r="AX59" s="28">
        <v>821885</v>
      </c>
      <c r="AY59" s="28">
        <v>821931</v>
      </c>
      <c r="AZ59" s="28">
        <v>822143</v>
      </c>
      <c r="BA59" s="28">
        <v>822185</v>
      </c>
      <c r="BB59" s="28">
        <v>822236</v>
      </c>
      <c r="BC59" s="28">
        <v>822306</v>
      </c>
      <c r="BD59" s="28">
        <v>822352</v>
      </c>
      <c r="BE59" s="28">
        <v>822558</v>
      </c>
      <c r="BF59" s="28">
        <v>822647</v>
      </c>
      <c r="BG59" s="28">
        <v>822737</v>
      </c>
      <c r="BH59" s="28">
        <v>822777</v>
      </c>
      <c r="BI59" s="28">
        <v>823003</v>
      </c>
      <c r="BJ59" s="28">
        <v>823082</v>
      </c>
    </row>
    <row r="60" spans="1:62" x14ac:dyDescent="0.25">
      <c r="A60" s="28">
        <v>1052.3</v>
      </c>
      <c r="B60" s="28">
        <v>1052.3</v>
      </c>
      <c r="C60" s="28">
        <v>1052.3</v>
      </c>
      <c r="D60" s="28">
        <v>1052.3</v>
      </c>
      <c r="E60" s="28">
        <v>1052.3</v>
      </c>
      <c r="F60" s="28">
        <v>1052.3</v>
      </c>
      <c r="G60" s="28">
        <v>1052.3</v>
      </c>
      <c r="H60" s="28">
        <v>1052.3</v>
      </c>
      <c r="I60" s="28">
        <v>1052.3</v>
      </c>
      <c r="J60" s="28">
        <v>1052.3</v>
      </c>
      <c r="K60" s="28">
        <v>1052.3</v>
      </c>
      <c r="L60" s="28">
        <v>1052.3</v>
      </c>
      <c r="M60" s="28">
        <v>1052.3</v>
      </c>
      <c r="N60" s="28">
        <v>1052.3</v>
      </c>
      <c r="O60" s="28">
        <v>1052.3</v>
      </c>
      <c r="P60" s="28">
        <v>1052.3</v>
      </c>
      <c r="Q60" s="28">
        <v>1052.3</v>
      </c>
      <c r="R60" s="28">
        <v>1052.3</v>
      </c>
      <c r="S60" s="28">
        <v>1052.3</v>
      </c>
      <c r="T60" s="28">
        <v>1052.3</v>
      </c>
      <c r="U60" s="28">
        <v>1052.3</v>
      </c>
      <c r="V60" s="28">
        <v>1052.3</v>
      </c>
      <c r="W60" s="28">
        <v>1052.3</v>
      </c>
      <c r="X60" s="28">
        <v>1052.3</v>
      </c>
      <c r="Y60" s="28">
        <v>1052.3</v>
      </c>
      <c r="Z60" s="28">
        <v>1052.3</v>
      </c>
      <c r="AA60" s="28">
        <v>1052.3</v>
      </c>
      <c r="AB60" s="28">
        <v>1052.3</v>
      </c>
      <c r="AC60" s="28">
        <v>1052.3</v>
      </c>
      <c r="AD60" s="28">
        <v>1052.3</v>
      </c>
      <c r="AE60" s="28">
        <v>1052.3</v>
      </c>
      <c r="AF60" s="28">
        <v>1052.3</v>
      </c>
      <c r="AG60" s="28">
        <v>1052.3</v>
      </c>
      <c r="AH60" s="28">
        <v>1052.3</v>
      </c>
      <c r="AI60" s="28">
        <v>1052.3</v>
      </c>
      <c r="AJ60" s="28">
        <v>1052.3</v>
      </c>
      <c r="AK60" s="28">
        <v>1052.3</v>
      </c>
      <c r="AL60" s="28">
        <v>1052.3</v>
      </c>
      <c r="AM60" s="28">
        <v>1052.3</v>
      </c>
      <c r="AN60" s="28">
        <v>1052.3</v>
      </c>
      <c r="AO60" s="28">
        <v>1052.3</v>
      </c>
      <c r="AP60" s="28">
        <v>1052.3</v>
      </c>
      <c r="AQ60" s="28">
        <v>1052.3</v>
      </c>
      <c r="AR60" s="28">
        <v>1052.3</v>
      </c>
      <c r="AS60" s="28">
        <v>1052.3</v>
      </c>
      <c r="AT60" s="28">
        <v>1052.3</v>
      </c>
      <c r="AU60" s="28">
        <v>1052.3</v>
      </c>
      <c r="AV60" s="28">
        <v>1052.3</v>
      </c>
      <c r="AW60" s="28">
        <v>1052.3</v>
      </c>
      <c r="AX60" s="28">
        <v>1052.3</v>
      </c>
      <c r="AY60" s="28">
        <v>1052.3</v>
      </c>
      <c r="AZ60" s="28">
        <v>1052.3</v>
      </c>
      <c r="BA60" s="28">
        <v>1052.3</v>
      </c>
      <c r="BB60" s="28">
        <v>1052.3</v>
      </c>
      <c r="BC60" s="28">
        <v>1052.3</v>
      </c>
      <c r="BD60" s="28">
        <v>1052.3</v>
      </c>
      <c r="BE60" s="28">
        <v>1052.3</v>
      </c>
      <c r="BF60" s="28">
        <v>1052.3</v>
      </c>
      <c r="BG60" s="28">
        <v>1052.3</v>
      </c>
      <c r="BH60" s="28">
        <v>1052.3</v>
      </c>
      <c r="BI60" s="28">
        <v>1052.3</v>
      </c>
      <c r="BJ60" s="28">
        <v>1052.3</v>
      </c>
    </row>
    <row r="61" spans="1:62" x14ac:dyDescent="0.25">
      <c r="A61" s="28">
        <v>1049.3</v>
      </c>
      <c r="B61" s="28">
        <v>1049.3</v>
      </c>
      <c r="C61" s="28">
        <v>1049.3</v>
      </c>
      <c r="D61" s="28">
        <v>1049.3</v>
      </c>
      <c r="E61" s="28">
        <v>1049.3</v>
      </c>
      <c r="F61" s="28">
        <v>1049.3</v>
      </c>
      <c r="G61" s="28">
        <v>1049.3</v>
      </c>
      <c r="H61" s="28">
        <v>1049.3</v>
      </c>
      <c r="I61" s="28">
        <v>1049.3</v>
      </c>
      <c r="J61" s="28">
        <v>1049.3</v>
      </c>
      <c r="K61" s="28">
        <v>1049.3</v>
      </c>
      <c r="L61" s="28">
        <v>1049.3</v>
      </c>
      <c r="M61" s="28">
        <v>1049.3</v>
      </c>
      <c r="N61" s="28">
        <v>1049.3</v>
      </c>
      <c r="O61" s="28">
        <v>1049.3</v>
      </c>
      <c r="P61" s="28">
        <v>1049.3</v>
      </c>
      <c r="Q61" s="28">
        <v>1049.3</v>
      </c>
      <c r="R61" s="28">
        <v>1049.3</v>
      </c>
      <c r="S61" s="28">
        <v>1049.3</v>
      </c>
      <c r="T61" s="28">
        <v>1049.3</v>
      </c>
      <c r="U61" s="28">
        <v>1049.3</v>
      </c>
      <c r="V61" s="28">
        <v>1049.3</v>
      </c>
      <c r="W61" s="28">
        <v>1049.3</v>
      </c>
      <c r="X61" s="28">
        <v>1049.3</v>
      </c>
      <c r="Y61" s="28">
        <v>1049.3</v>
      </c>
      <c r="Z61" s="28">
        <v>1049.3</v>
      </c>
      <c r="AA61" s="28">
        <v>1049.3</v>
      </c>
      <c r="AB61" s="28">
        <v>1049.3</v>
      </c>
      <c r="AC61" s="28">
        <v>1049.3</v>
      </c>
      <c r="AD61" s="28">
        <v>1049.3</v>
      </c>
      <c r="AE61" s="28">
        <v>1049.3</v>
      </c>
      <c r="AF61" s="28">
        <v>1049.3</v>
      </c>
      <c r="AG61" s="28">
        <v>1049.3</v>
      </c>
      <c r="AH61" s="28">
        <v>1049.3</v>
      </c>
      <c r="AI61" s="28">
        <v>1049.3</v>
      </c>
      <c r="AJ61" s="28">
        <v>1049.3</v>
      </c>
      <c r="AK61" s="28">
        <v>1049.3</v>
      </c>
      <c r="AL61" s="28">
        <v>1049.3</v>
      </c>
      <c r="AM61" s="28">
        <v>1049.3</v>
      </c>
      <c r="AN61" s="28">
        <v>1049.3</v>
      </c>
      <c r="AO61" s="28">
        <v>1049.3</v>
      </c>
      <c r="AP61" s="28">
        <v>1049.3</v>
      </c>
      <c r="AQ61" s="28">
        <v>1049.3</v>
      </c>
      <c r="AR61" s="28">
        <v>1049.3</v>
      </c>
      <c r="AS61" s="28">
        <v>1049.3</v>
      </c>
      <c r="AT61" s="28">
        <v>1049.3</v>
      </c>
      <c r="AU61" s="28">
        <v>1049.3</v>
      </c>
      <c r="AV61" s="28">
        <v>1049.3</v>
      </c>
      <c r="AW61" s="28">
        <v>1049.3</v>
      </c>
      <c r="AX61" s="28">
        <v>1049.3</v>
      </c>
      <c r="AY61" s="28">
        <v>1049.3</v>
      </c>
      <c r="AZ61" s="28">
        <v>1049.3</v>
      </c>
      <c r="BA61" s="28">
        <v>1049.3</v>
      </c>
      <c r="BB61" s="28">
        <v>1049.3</v>
      </c>
      <c r="BC61" s="28">
        <v>1049.3</v>
      </c>
      <c r="BD61" s="28">
        <v>1049.3</v>
      </c>
      <c r="BE61" s="28">
        <v>1049.3</v>
      </c>
      <c r="BF61" s="28">
        <v>1049.3</v>
      </c>
      <c r="BG61" s="28">
        <v>1049.3</v>
      </c>
      <c r="BH61" s="28">
        <v>1049.3</v>
      </c>
      <c r="BI61" s="28">
        <v>1049.3</v>
      </c>
      <c r="BJ61" s="28">
        <v>1049.3</v>
      </c>
    </row>
    <row r="62" spans="1:62" x14ac:dyDescent="0.25">
      <c r="A62" s="28">
        <v>1055.3</v>
      </c>
      <c r="B62" s="28">
        <v>1055.3</v>
      </c>
      <c r="C62" s="28">
        <v>1055.3</v>
      </c>
      <c r="D62" s="28">
        <v>1055.3</v>
      </c>
      <c r="E62" s="28">
        <v>1055.3</v>
      </c>
      <c r="F62" s="28">
        <v>1055.3</v>
      </c>
      <c r="G62" s="28">
        <v>1055.3</v>
      </c>
      <c r="H62" s="28">
        <v>1055.3</v>
      </c>
      <c r="I62" s="28">
        <v>1055.3</v>
      </c>
      <c r="J62" s="28">
        <v>1055.3</v>
      </c>
      <c r="K62" s="28">
        <v>1055.3</v>
      </c>
      <c r="L62" s="28">
        <v>1055.3</v>
      </c>
      <c r="M62" s="28">
        <v>1055.3</v>
      </c>
      <c r="N62" s="28">
        <v>1055.3</v>
      </c>
      <c r="O62" s="28">
        <v>1055.3</v>
      </c>
      <c r="P62" s="28">
        <v>1055.3</v>
      </c>
      <c r="Q62" s="28">
        <v>1055.3</v>
      </c>
      <c r="R62" s="28">
        <v>1055.3</v>
      </c>
      <c r="S62" s="28">
        <v>1055.3</v>
      </c>
      <c r="T62" s="28">
        <v>1055.3</v>
      </c>
      <c r="U62" s="28">
        <v>1055.3</v>
      </c>
      <c r="V62" s="28">
        <v>1055.3</v>
      </c>
      <c r="W62" s="28">
        <v>1055.3</v>
      </c>
      <c r="X62" s="28">
        <v>1055.3</v>
      </c>
      <c r="Y62" s="28">
        <v>1055.3</v>
      </c>
      <c r="Z62" s="28">
        <v>1055.3</v>
      </c>
      <c r="AA62" s="28">
        <v>1055.3</v>
      </c>
      <c r="AB62" s="28">
        <v>1055.3</v>
      </c>
      <c r="AC62" s="28">
        <v>1055.3</v>
      </c>
      <c r="AD62" s="28">
        <v>1055.3</v>
      </c>
      <c r="AE62" s="28">
        <v>1055.3</v>
      </c>
      <c r="AF62" s="28">
        <v>1055.3</v>
      </c>
      <c r="AG62" s="28">
        <v>1055.3</v>
      </c>
      <c r="AH62" s="28">
        <v>1055.3</v>
      </c>
      <c r="AI62" s="28">
        <v>1055.3</v>
      </c>
      <c r="AJ62" s="28">
        <v>1055.3</v>
      </c>
      <c r="AK62" s="28">
        <v>1055.3</v>
      </c>
      <c r="AL62" s="28">
        <v>1055.3</v>
      </c>
      <c r="AM62" s="28">
        <v>1055.3</v>
      </c>
      <c r="AN62" s="28">
        <v>1055.3</v>
      </c>
      <c r="AO62" s="28">
        <v>1055.3</v>
      </c>
      <c r="AP62" s="28">
        <v>1055.3</v>
      </c>
      <c r="AQ62" s="28">
        <v>1055.3</v>
      </c>
      <c r="AR62" s="28">
        <v>1055.3</v>
      </c>
      <c r="AS62" s="28">
        <v>1055.3</v>
      </c>
      <c r="AT62" s="28">
        <v>1055.3</v>
      </c>
      <c r="AU62" s="28">
        <v>1055.3</v>
      </c>
      <c r="AV62" s="28">
        <v>1055.3</v>
      </c>
      <c r="AW62" s="28">
        <v>1055.3</v>
      </c>
      <c r="AX62" s="28">
        <v>1055.3</v>
      </c>
      <c r="AY62" s="28">
        <v>1055.3</v>
      </c>
      <c r="AZ62" s="28">
        <v>1055.3</v>
      </c>
      <c r="BA62" s="28">
        <v>1055.3</v>
      </c>
      <c r="BB62" s="28">
        <v>1055.3</v>
      </c>
      <c r="BC62" s="28">
        <v>1055.3</v>
      </c>
      <c r="BD62" s="28">
        <v>1055.3</v>
      </c>
      <c r="BE62" s="28">
        <v>1055.3</v>
      </c>
      <c r="BF62" s="28">
        <v>1055.3</v>
      </c>
      <c r="BG62" s="28">
        <v>1055.3</v>
      </c>
      <c r="BH62" s="28">
        <v>1055.3</v>
      </c>
      <c r="BI62" s="28">
        <v>1055.3</v>
      </c>
      <c r="BJ62" s="28">
        <v>1055.3</v>
      </c>
    </row>
    <row r="63" spans="1:62" x14ac:dyDescent="0.25">
      <c r="A63" s="28">
        <v>1051.51</v>
      </c>
      <c r="B63" s="28">
        <v>1051.3800000000001</v>
      </c>
      <c r="C63" s="28">
        <v>1051.45</v>
      </c>
      <c r="D63" s="28">
        <v>1051.9000000000001</v>
      </c>
      <c r="E63" s="28">
        <v>1051.2</v>
      </c>
      <c r="F63" s="28">
        <v>1051.8</v>
      </c>
      <c r="G63" s="28">
        <v>1051.4000000000001</v>
      </c>
      <c r="H63" s="28">
        <v>1051.8</v>
      </c>
      <c r="I63" s="28">
        <v>1051.8</v>
      </c>
      <c r="J63" s="28">
        <v>1051.95</v>
      </c>
      <c r="K63" s="28">
        <v>1051.21</v>
      </c>
      <c r="L63" s="28">
        <v>1051.29</v>
      </c>
      <c r="M63" s="28">
        <v>1050.8499999999999</v>
      </c>
      <c r="N63" s="28">
        <v>1051.6500000000001</v>
      </c>
      <c r="O63" s="28">
        <v>1051.2</v>
      </c>
      <c r="P63" s="28">
        <v>1051.07</v>
      </c>
      <c r="Q63" s="28">
        <v>1050.99</v>
      </c>
      <c r="R63" s="28">
        <v>1051.42</v>
      </c>
      <c r="S63" s="28">
        <v>1051.5</v>
      </c>
      <c r="T63" s="28">
        <v>1051.7</v>
      </c>
      <c r="U63" s="28">
        <v>1051.8</v>
      </c>
      <c r="V63" s="28">
        <v>1051.3599999999999</v>
      </c>
      <c r="W63" s="28">
        <v>1051.8</v>
      </c>
      <c r="X63" s="28">
        <v>1052.3</v>
      </c>
      <c r="Y63" s="28">
        <v>1052</v>
      </c>
      <c r="Z63" s="28">
        <v>1051.75</v>
      </c>
      <c r="AA63" s="28">
        <v>1051.83</v>
      </c>
      <c r="AB63" s="28">
        <v>1052</v>
      </c>
      <c r="AC63" s="28">
        <v>1051.3900000000001</v>
      </c>
      <c r="AD63" s="28">
        <v>1051.28</v>
      </c>
      <c r="AE63" s="28">
        <v>1051.43</v>
      </c>
      <c r="AF63" s="28">
        <v>1051.4100000000001</v>
      </c>
      <c r="AG63" s="28">
        <v>1051.26</v>
      </c>
      <c r="AH63" s="28">
        <v>1051.4100000000001</v>
      </c>
      <c r="AI63" s="28">
        <v>1051.5</v>
      </c>
      <c r="AJ63" s="28">
        <v>1051.17</v>
      </c>
      <c r="AK63" s="28">
        <v>1051.83</v>
      </c>
      <c r="AL63" s="28">
        <v>1051.25</v>
      </c>
      <c r="AM63" s="28">
        <v>1051.44</v>
      </c>
      <c r="AN63" s="28">
        <v>1051.95</v>
      </c>
      <c r="AO63" s="28">
        <v>1051.6099999999999</v>
      </c>
      <c r="AP63" s="28">
        <v>1051.97</v>
      </c>
      <c r="AQ63" s="28">
        <v>1051.8</v>
      </c>
      <c r="AR63" s="28">
        <v>1051.49</v>
      </c>
      <c r="AS63" s="28">
        <v>1051.78</v>
      </c>
      <c r="AT63" s="28">
        <v>1052.1500000000001</v>
      </c>
      <c r="AU63" s="28">
        <v>1050.9000000000001</v>
      </c>
      <c r="AV63" s="28">
        <v>1051.47</v>
      </c>
      <c r="AW63" s="28">
        <v>1051.51</v>
      </c>
      <c r="AX63" s="28">
        <v>1051.6099999999999</v>
      </c>
      <c r="AY63" s="28">
        <v>1051.9100000000001</v>
      </c>
      <c r="AZ63" s="28">
        <v>1051.7</v>
      </c>
      <c r="BA63" s="28">
        <v>1051.56</v>
      </c>
      <c r="BB63" s="28">
        <v>1051.8800000000001</v>
      </c>
      <c r="BC63" s="28">
        <v>1052.06</v>
      </c>
      <c r="BD63" s="28">
        <v>1052.32</v>
      </c>
      <c r="BE63" s="28">
        <v>1051.79</v>
      </c>
      <c r="BF63" s="28">
        <v>1051.95</v>
      </c>
      <c r="BG63" s="28">
        <v>1051.6199999999999</v>
      </c>
      <c r="BH63" s="28">
        <v>1052.1600000000001</v>
      </c>
      <c r="BI63" s="28">
        <v>1051.4100000000001</v>
      </c>
      <c r="BJ63" s="28">
        <v>1051.68</v>
      </c>
    </row>
    <row r="64" spans="1:62" x14ac:dyDescent="0.25">
      <c r="A64" s="28" t="s">
        <v>30</v>
      </c>
      <c r="B64" s="28" t="s">
        <v>31</v>
      </c>
      <c r="C64" s="28" t="s">
        <v>32</v>
      </c>
      <c r="D64" s="28" t="s">
        <v>33</v>
      </c>
      <c r="E64" s="28" t="s">
        <v>50</v>
      </c>
      <c r="F64" s="28" t="s">
        <v>51</v>
      </c>
      <c r="G64" s="28" t="s">
        <v>24</v>
      </c>
      <c r="H64" s="28">
        <v>62</v>
      </c>
    </row>
    <row r="65" spans="1:62" x14ac:dyDescent="0.25">
      <c r="A65" s="5">
        <v>46169</v>
      </c>
      <c r="B65" s="5">
        <v>46169</v>
      </c>
      <c r="C65" s="5">
        <v>46169</v>
      </c>
      <c r="D65" s="5">
        <v>46169</v>
      </c>
      <c r="E65" s="5">
        <v>46170</v>
      </c>
      <c r="F65" s="5">
        <v>46170</v>
      </c>
      <c r="G65" s="5">
        <v>46171</v>
      </c>
      <c r="H65" s="5">
        <v>46171</v>
      </c>
      <c r="I65" s="5">
        <v>46171</v>
      </c>
      <c r="J65" s="5">
        <v>46171</v>
      </c>
      <c r="K65" s="5">
        <v>46172</v>
      </c>
      <c r="L65" s="5">
        <v>46172</v>
      </c>
      <c r="M65" s="5">
        <v>46172</v>
      </c>
      <c r="N65" s="5">
        <v>46174</v>
      </c>
      <c r="O65" s="5">
        <v>46174</v>
      </c>
      <c r="P65" s="5">
        <v>46174</v>
      </c>
      <c r="Q65" s="5">
        <v>46174</v>
      </c>
      <c r="R65" s="5">
        <v>46175</v>
      </c>
      <c r="S65" s="5">
        <v>46175</v>
      </c>
      <c r="T65" s="5">
        <v>46175</v>
      </c>
      <c r="U65" s="5">
        <v>46176</v>
      </c>
      <c r="V65" s="5">
        <v>46176</v>
      </c>
      <c r="W65" s="5">
        <v>46176</v>
      </c>
      <c r="X65" s="5">
        <v>46176</v>
      </c>
      <c r="Y65" s="5">
        <v>46176</v>
      </c>
      <c r="Z65" s="5">
        <v>46176</v>
      </c>
      <c r="AA65" s="5">
        <v>46176</v>
      </c>
      <c r="AB65" s="5">
        <v>46177</v>
      </c>
      <c r="AC65" s="5">
        <v>46178</v>
      </c>
      <c r="AD65" s="5">
        <v>46178</v>
      </c>
      <c r="AE65" s="5">
        <v>46178</v>
      </c>
      <c r="AF65" s="5">
        <v>46179</v>
      </c>
      <c r="AG65" s="5">
        <v>46180</v>
      </c>
      <c r="AH65" s="5">
        <v>46180</v>
      </c>
      <c r="AI65" s="5">
        <v>46180</v>
      </c>
      <c r="AJ65" s="5">
        <v>46180</v>
      </c>
      <c r="AK65" s="5">
        <v>46181</v>
      </c>
      <c r="AL65" s="5">
        <v>46181</v>
      </c>
      <c r="AM65" s="5">
        <v>46181</v>
      </c>
      <c r="AN65" s="5">
        <v>46181</v>
      </c>
      <c r="AO65" s="5">
        <v>46181</v>
      </c>
      <c r="AP65" s="5">
        <v>46182</v>
      </c>
      <c r="AQ65" s="5">
        <v>46182</v>
      </c>
      <c r="AR65" s="5">
        <v>46182</v>
      </c>
      <c r="AS65" s="5">
        <v>46182</v>
      </c>
      <c r="AT65" s="5">
        <v>46182</v>
      </c>
      <c r="AU65" s="5">
        <v>46183</v>
      </c>
      <c r="AV65" s="5">
        <v>46183</v>
      </c>
      <c r="AW65" s="5">
        <v>46183</v>
      </c>
      <c r="AX65" s="5">
        <v>46183</v>
      </c>
      <c r="AY65" s="5">
        <v>46183</v>
      </c>
      <c r="AZ65" s="5">
        <v>46184</v>
      </c>
      <c r="BA65" s="5">
        <v>46184</v>
      </c>
      <c r="BB65" s="5">
        <v>46184</v>
      </c>
      <c r="BC65" s="5">
        <v>46184</v>
      </c>
      <c r="BD65" s="5">
        <v>46184</v>
      </c>
      <c r="BE65" s="5">
        <v>46185</v>
      </c>
      <c r="BF65" s="5">
        <v>46185</v>
      </c>
      <c r="BG65" s="5">
        <v>46185</v>
      </c>
      <c r="BH65" s="5">
        <v>46185</v>
      </c>
      <c r="BI65" s="5">
        <v>46186</v>
      </c>
      <c r="BJ65" s="5">
        <v>46186</v>
      </c>
    </row>
    <row r="66" spans="1:62" x14ac:dyDescent="0.25">
      <c r="A66" s="28">
        <v>816948</v>
      </c>
      <c r="B66" s="28">
        <v>816987</v>
      </c>
      <c r="C66" s="28">
        <v>816998</v>
      </c>
      <c r="D66" s="28">
        <v>817092</v>
      </c>
      <c r="E66" s="28">
        <v>817353</v>
      </c>
      <c r="F66" s="28">
        <v>817441</v>
      </c>
      <c r="G66" s="28">
        <v>817773</v>
      </c>
      <c r="H66" s="28">
        <v>817861</v>
      </c>
      <c r="I66" s="28">
        <v>817943</v>
      </c>
      <c r="J66" s="28">
        <v>817985</v>
      </c>
      <c r="K66" s="28">
        <v>818214</v>
      </c>
      <c r="L66" s="28">
        <v>818254</v>
      </c>
      <c r="M66" s="28">
        <v>818291</v>
      </c>
      <c r="N66" s="28">
        <v>818439</v>
      </c>
      <c r="O66" s="28">
        <v>818580</v>
      </c>
      <c r="P66" s="28">
        <v>818627</v>
      </c>
      <c r="Q66" s="28">
        <v>818667</v>
      </c>
      <c r="R66" s="28">
        <v>818839</v>
      </c>
      <c r="S66" s="28">
        <v>818934</v>
      </c>
      <c r="T66" s="28">
        <v>819019</v>
      </c>
      <c r="U66" s="28">
        <v>819103</v>
      </c>
      <c r="V66" s="28">
        <v>819271</v>
      </c>
      <c r="W66" s="28">
        <v>819315</v>
      </c>
      <c r="X66" s="28">
        <v>819370</v>
      </c>
      <c r="Y66" s="28">
        <v>819445</v>
      </c>
      <c r="Z66" s="28">
        <v>819491</v>
      </c>
      <c r="AA66" s="28">
        <v>819533</v>
      </c>
      <c r="AB66" s="28">
        <v>819706</v>
      </c>
      <c r="AC66" s="28">
        <v>819995</v>
      </c>
      <c r="AD66" s="28">
        <v>820041</v>
      </c>
      <c r="AE66" s="28">
        <v>820088</v>
      </c>
      <c r="AF66" s="28">
        <v>820271</v>
      </c>
      <c r="AG66" s="28">
        <v>820495</v>
      </c>
      <c r="AH66" s="28">
        <v>820568</v>
      </c>
      <c r="AI66" s="28">
        <v>820630</v>
      </c>
      <c r="AJ66" s="28">
        <v>820670</v>
      </c>
      <c r="AK66" s="28">
        <v>820873</v>
      </c>
      <c r="AL66" s="28">
        <v>820921</v>
      </c>
      <c r="AM66" s="28">
        <v>820957</v>
      </c>
      <c r="AN66" s="28">
        <v>821024</v>
      </c>
      <c r="AO66" s="28">
        <v>821060</v>
      </c>
      <c r="AP66" s="28">
        <v>821288</v>
      </c>
      <c r="AQ66" s="28">
        <v>821319</v>
      </c>
      <c r="AR66" s="28">
        <v>821356</v>
      </c>
      <c r="AS66" s="28">
        <v>821451</v>
      </c>
      <c r="AT66" s="28">
        <v>821500</v>
      </c>
      <c r="AU66" s="28">
        <v>821710</v>
      </c>
      <c r="AV66" s="28">
        <v>821754</v>
      </c>
      <c r="AW66" s="28">
        <v>821805</v>
      </c>
      <c r="AX66" s="28">
        <v>821885</v>
      </c>
      <c r="AY66" s="28">
        <v>821931</v>
      </c>
      <c r="AZ66" s="28">
        <v>822143</v>
      </c>
      <c r="BA66" s="28">
        <v>822185</v>
      </c>
      <c r="BB66" s="28">
        <v>822236</v>
      </c>
      <c r="BC66" s="28">
        <v>822306</v>
      </c>
      <c r="BD66" s="28">
        <v>822352</v>
      </c>
      <c r="BE66" s="28">
        <v>822558</v>
      </c>
      <c r="BF66" s="28">
        <v>822647</v>
      </c>
      <c r="BG66" s="28">
        <v>822737</v>
      </c>
      <c r="BH66" s="28">
        <v>822777</v>
      </c>
      <c r="BI66" s="28">
        <v>823003</v>
      </c>
      <c r="BJ66" s="28">
        <v>823082</v>
      </c>
    </row>
    <row r="67" spans="1:62" x14ac:dyDescent="0.25">
      <c r="A67" s="28">
        <v>652</v>
      </c>
      <c r="B67" s="28">
        <v>652</v>
      </c>
      <c r="C67" s="28">
        <v>652</v>
      </c>
      <c r="D67" s="28">
        <v>652</v>
      </c>
      <c r="E67" s="28">
        <v>652</v>
      </c>
      <c r="F67" s="28">
        <v>652</v>
      </c>
      <c r="G67" s="28">
        <v>652</v>
      </c>
      <c r="H67" s="28">
        <v>652</v>
      </c>
      <c r="I67" s="28">
        <v>652</v>
      </c>
      <c r="J67" s="28">
        <v>652</v>
      </c>
      <c r="K67" s="28">
        <v>652</v>
      </c>
      <c r="L67" s="28">
        <v>652</v>
      </c>
      <c r="M67" s="28">
        <v>652</v>
      </c>
      <c r="N67" s="28">
        <v>652</v>
      </c>
      <c r="O67" s="28">
        <v>652</v>
      </c>
      <c r="P67" s="28">
        <v>652</v>
      </c>
      <c r="Q67" s="28">
        <v>652</v>
      </c>
      <c r="R67" s="28">
        <v>652</v>
      </c>
      <c r="S67" s="28">
        <v>652</v>
      </c>
      <c r="T67" s="28">
        <v>652</v>
      </c>
      <c r="U67" s="28">
        <v>652</v>
      </c>
      <c r="V67" s="28">
        <v>652</v>
      </c>
      <c r="W67" s="28">
        <v>652</v>
      </c>
      <c r="X67" s="28">
        <v>652</v>
      </c>
      <c r="Y67" s="28">
        <v>652</v>
      </c>
      <c r="Z67" s="28">
        <v>652</v>
      </c>
      <c r="AA67" s="28">
        <v>652</v>
      </c>
      <c r="AB67" s="28">
        <v>652</v>
      </c>
      <c r="AC67" s="28">
        <v>652</v>
      </c>
      <c r="AD67" s="28">
        <v>652</v>
      </c>
      <c r="AE67" s="28">
        <v>652</v>
      </c>
      <c r="AF67" s="28">
        <v>652</v>
      </c>
      <c r="AG67" s="28">
        <v>652</v>
      </c>
      <c r="AH67" s="28">
        <v>652</v>
      </c>
      <c r="AI67" s="28">
        <v>652</v>
      </c>
      <c r="AJ67" s="28">
        <v>652</v>
      </c>
      <c r="AK67" s="28">
        <v>652</v>
      </c>
      <c r="AL67" s="28">
        <v>652</v>
      </c>
      <c r="AM67" s="28">
        <v>652</v>
      </c>
      <c r="AN67" s="28">
        <v>652</v>
      </c>
      <c r="AO67" s="28">
        <v>652</v>
      </c>
      <c r="AP67" s="28">
        <v>652</v>
      </c>
      <c r="AQ67" s="28">
        <v>652</v>
      </c>
      <c r="AR67" s="28">
        <v>652</v>
      </c>
      <c r="AS67" s="28">
        <v>652</v>
      </c>
      <c r="AT67" s="28">
        <v>652</v>
      </c>
      <c r="AU67" s="28">
        <v>652</v>
      </c>
      <c r="AV67" s="28">
        <v>652</v>
      </c>
      <c r="AW67" s="28">
        <v>652</v>
      </c>
      <c r="AX67" s="28">
        <v>652</v>
      </c>
      <c r="AY67" s="28">
        <v>652</v>
      </c>
      <c r="AZ67" s="28">
        <v>652</v>
      </c>
      <c r="BA67" s="28">
        <v>652</v>
      </c>
      <c r="BB67" s="28">
        <v>652</v>
      </c>
      <c r="BC67" s="28">
        <v>652</v>
      </c>
      <c r="BD67" s="28">
        <v>652</v>
      </c>
      <c r="BE67" s="28">
        <v>652</v>
      </c>
      <c r="BF67" s="28">
        <v>652</v>
      </c>
      <c r="BG67" s="28">
        <v>652</v>
      </c>
      <c r="BH67" s="28">
        <v>652</v>
      </c>
      <c r="BI67" s="28">
        <v>652</v>
      </c>
      <c r="BJ67" s="28">
        <v>652</v>
      </c>
    </row>
    <row r="68" spans="1:62" x14ac:dyDescent="0.25">
      <c r="A68" s="28">
        <v>649</v>
      </c>
      <c r="B68" s="28">
        <v>649</v>
      </c>
      <c r="C68" s="28">
        <v>649</v>
      </c>
      <c r="D68" s="28">
        <v>649</v>
      </c>
      <c r="E68" s="28">
        <v>649</v>
      </c>
      <c r="F68" s="28">
        <v>649</v>
      </c>
      <c r="G68" s="28">
        <v>649</v>
      </c>
      <c r="H68" s="28">
        <v>649</v>
      </c>
      <c r="I68" s="28">
        <v>649</v>
      </c>
      <c r="J68" s="28">
        <v>649</v>
      </c>
      <c r="K68" s="28">
        <v>649</v>
      </c>
      <c r="L68" s="28">
        <v>649</v>
      </c>
      <c r="M68" s="28">
        <v>649</v>
      </c>
      <c r="N68" s="28">
        <v>649</v>
      </c>
      <c r="O68" s="28">
        <v>649</v>
      </c>
      <c r="P68" s="28">
        <v>649</v>
      </c>
      <c r="Q68" s="28">
        <v>649</v>
      </c>
      <c r="R68" s="28">
        <v>649</v>
      </c>
      <c r="S68" s="28">
        <v>649</v>
      </c>
      <c r="T68" s="28">
        <v>649</v>
      </c>
      <c r="U68" s="28">
        <v>649</v>
      </c>
      <c r="V68" s="28">
        <v>649</v>
      </c>
      <c r="W68" s="28">
        <v>649</v>
      </c>
      <c r="X68" s="28">
        <v>649</v>
      </c>
      <c r="Y68" s="28">
        <v>649</v>
      </c>
      <c r="Z68" s="28">
        <v>649</v>
      </c>
      <c r="AA68" s="28">
        <v>649</v>
      </c>
      <c r="AB68" s="28">
        <v>649</v>
      </c>
      <c r="AC68" s="28">
        <v>649</v>
      </c>
      <c r="AD68" s="28">
        <v>649</v>
      </c>
      <c r="AE68" s="28">
        <v>649</v>
      </c>
      <c r="AF68" s="28">
        <v>649</v>
      </c>
      <c r="AG68" s="28">
        <v>649</v>
      </c>
      <c r="AH68" s="28">
        <v>649</v>
      </c>
      <c r="AI68" s="28">
        <v>649</v>
      </c>
      <c r="AJ68" s="28">
        <v>649</v>
      </c>
      <c r="AK68" s="28">
        <v>649</v>
      </c>
      <c r="AL68" s="28">
        <v>649</v>
      </c>
      <c r="AM68" s="28">
        <v>649</v>
      </c>
      <c r="AN68" s="28">
        <v>649</v>
      </c>
      <c r="AO68" s="28">
        <v>649</v>
      </c>
      <c r="AP68" s="28">
        <v>649</v>
      </c>
      <c r="AQ68" s="28">
        <v>649</v>
      </c>
      <c r="AR68" s="28">
        <v>649</v>
      </c>
      <c r="AS68" s="28">
        <v>649</v>
      </c>
      <c r="AT68" s="28">
        <v>649</v>
      </c>
      <c r="AU68" s="28">
        <v>649</v>
      </c>
      <c r="AV68" s="28">
        <v>649</v>
      </c>
      <c r="AW68" s="28">
        <v>649</v>
      </c>
      <c r="AX68" s="28">
        <v>649</v>
      </c>
      <c r="AY68" s="28">
        <v>649</v>
      </c>
      <c r="AZ68" s="28">
        <v>649</v>
      </c>
      <c r="BA68" s="28">
        <v>649</v>
      </c>
      <c r="BB68" s="28">
        <v>649</v>
      </c>
      <c r="BC68" s="28">
        <v>649</v>
      </c>
      <c r="BD68" s="28">
        <v>649</v>
      </c>
      <c r="BE68" s="28">
        <v>649</v>
      </c>
      <c r="BF68" s="28">
        <v>649</v>
      </c>
      <c r="BG68" s="28">
        <v>649</v>
      </c>
      <c r="BH68" s="28">
        <v>649</v>
      </c>
      <c r="BI68" s="28">
        <v>649</v>
      </c>
      <c r="BJ68" s="28">
        <v>649</v>
      </c>
    </row>
    <row r="69" spans="1:62" x14ac:dyDescent="0.25">
      <c r="A69" s="28">
        <v>655</v>
      </c>
      <c r="B69" s="28">
        <v>655</v>
      </c>
      <c r="C69" s="28">
        <v>655</v>
      </c>
      <c r="D69" s="28">
        <v>655</v>
      </c>
      <c r="E69" s="28">
        <v>655</v>
      </c>
      <c r="F69" s="28">
        <v>655</v>
      </c>
      <c r="G69" s="28">
        <v>655</v>
      </c>
      <c r="H69" s="28">
        <v>655</v>
      </c>
      <c r="I69" s="28">
        <v>655</v>
      </c>
      <c r="J69" s="28">
        <v>655</v>
      </c>
      <c r="K69" s="28">
        <v>655</v>
      </c>
      <c r="L69" s="28">
        <v>655</v>
      </c>
      <c r="M69" s="28">
        <v>655</v>
      </c>
      <c r="N69" s="28">
        <v>655</v>
      </c>
      <c r="O69" s="28">
        <v>655</v>
      </c>
      <c r="P69" s="28">
        <v>655</v>
      </c>
      <c r="Q69" s="28">
        <v>655</v>
      </c>
      <c r="R69" s="28">
        <v>655</v>
      </c>
      <c r="S69" s="28">
        <v>655</v>
      </c>
      <c r="T69" s="28">
        <v>655</v>
      </c>
      <c r="U69" s="28">
        <v>655</v>
      </c>
      <c r="V69" s="28">
        <v>655</v>
      </c>
      <c r="W69" s="28">
        <v>655</v>
      </c>
      <c r="X69" s="28">
        <v>655</v>
      </c>
      <c r="Y69" s="28">
        <v>655</v>
      </c>
      <c r="Z69" s="28">
        <v>655</v>
      </c>
      <c r="AA69" s="28">
        <v>655</v>
      </c>
      <c r="AB69" s="28">
        <v>655</v>
      </c>
      <c r="AC69" s="28">
        <v>655</v>
      </c>
      <c r="AD69" s="28">
        <v>655</v>
      </c>
      <c r="AE69" s="28">
        <v>655</v>
      </c>
      <c r="AF69" s="28">
        <v>655</v>
      </c>
      <c r="AG69" s="28">
        <v>655</v>
      </c>
      <c r="AH69" s="28">
        <v>655</v>
      </c>
      <c r="AI69" s="28">
        <v>655</v>
      </c>
      <c r="AJ69" s="28">
        <v>655</v>
      </c>
      <c r="AK69" s="28">
        <v>655</v>
      </c>
      <c r="AL69" s="28">
        <v>655</v>
      </c>
      <c r="AM69" s="28">
        <v>655</v>
      </c>
      <c r="AN69" s="28">
        <v>655</v>
      </c>
      <c r="AO69" s="28">
        <v>655</v>
      </c>
      <c r="AP69" s="28">
        <v>655</v>
      </c>
      <c r="AQ69" s="28">
        <v>655</v>
      </c>
      <c r="AR69" s="28">
        <v>655</v>
      </c>
      <c r="AS69" s="28">
        <v>655</v>
      </c>
      <c r="AT69" s="28">
        <v>655</v>
      </c>
      <c r="AU69" s="28">
        <v>655</v>
      </c>
      <c r="AV69" s="28">
        <v>655</v>
      </c>
      <c r="AW69" s="28">
        <v>655</v>
      </c>
      <c r="AX69" s="28">
        <v>655</v>
      </c>
      <c r="AY69" s="28">
        <v>655</v>
      </c>
      <c r="AZ69" s="28">
        <v>655</v>
      </c>
      <c r="BA69" s="28">
        <v>655</v>
      </c>
      <c r="BB69" s="28">
        <v>655</v>
      </c>
      <c r="BC69" s="28">
        <v>655</v>
      </c>
      <c r="BD69" s="28">
        <v>655</v>
      </c>
      <c r="BE69" s="28">
        <v>655</v>
      </c>
      <c r="BF69" s="28">
        <v>655</v>
      </c>
      <c r="BG69" s="28">
        <v>655</v>
      </c>
      <c r="BH69" s="28">
        <v>655</v>
      </c>
      <c r="BI69" s="28">
        <v>655</v>
      </c>
      <c r="BJ69" s="28">
        <v>655</v>
      </c>
    </row>
    <row r="70" spans="1:62" x14ac:dyDescent="0.25">
      <c r="A70" s="28">
        <v>655.83</v>
      </c>
      <c r="B70" s="28">
        <v>653.71</v>
      </c>
      <c r="C70" s="28">
        <v>655.08000000000004</v>
      </c>
      <c r="D70" s="28">
        <v>654.20000000000005</v>
      </c>
      <c r="E70" s="28">
        <v>654.29999999999995</v>
      </c>
      <c r="F70" s="28">
        <v>654.4</v>
      </c>
      <c r="G70" s="28">
        <v>655</v>
      </c>
      <c r="H70" s="28">
        <v>655.1</v>
      </c>
      <c r="I70" s="28">
        <v>655.1</v>
      </c>
      <c r="J70" s="28">
        <v>656.24</v>
      </c>
      <c r="K70" s="28">
        <v>653.97</v>
      </c>
      <c r="L70" s="28">
        <v>653.84</v>
      </c>
      <c r="M70" s="28">
        <v>654.46</v>
      </c>
      <c r="N70" s="28">
        <v>655.84</v>
      </c>
      <c r="O70" s="28">
        <v>654.67999999999995</v>
      </c>
      <c r="P70" s="28">
        <v>653.84</v>
      </c>
      <c r="Q70" s="28">
        <v>654.67999999999995</v>
      </c>
      <c r="R70" s="28">
        <v>654.99</v>
      </c>
      <c r="S70" s="28">
        <v>655.1</v>
      </c>
      <c r="T70" s="28">
        <v>654.20000000000005</v>
      </c>
      <c r="U70" s="28">
        <v>655.4</v>
      </c>
      <c r="V70" s="28">
        <v>655.62</v>
      </c>
      <c r="W70" s="28">
        <v>655.1</v>
      </c>
      <c r="X70" s="28">
        <v>656.4</v>
      </c>
      <c r="Y70" s="28">
        <v>656.2</v>
      </c>
      <c r="Z70" s="28">
        <v>653.6</v>
      </c>
      <c r="AA70" s="28">
        <v>655.37</v>
      </c>
      <c r="AB70" s="28">
        <v>654.91999999999996</v>
      </c>
      <c r="AC70" s="28">
        <v>656.12</v>
      </c>
      <c r="AD70" s="28">
        <v>655.71</v>
      </c>
      <c r="AE70" s="28">
        <v>654.85</v>
      </c>
      <c r="AF70" s="28">
        <v>654.58000000000004</v>
      </c>
      <c r="AG70" s="28">
        <v>655.14</v>
      </c>
      <c r="AH70" s="28">
        <v>656</v>
      </c>
      <c r="AI70" s="28">
        <v>654.6</v>
      </c>
      <c r="AJ70" s="28">
        <v>655.92</v>
      </c>
      <c r="AK70" s="28">
        <v>656.03</v>
      </c>
      <c r="AL70" s="28">
        <v>654.08000000000004</v>
      </c>
      <c r="AM70" s="28">
        <v>654.57000000000005</v>
      </c>
      <c r="AN70" s="28">
        <v>654.70000000000005</v>
      </c>
      <c r="AO70" s="28">
        <v>654.66</v>
      </c>
      <c r="AP70" s="28">
        <v>656.71</v>
      </c>
      <c r="AQ70" s="28">
        <v>655.65</v>
      </c>
      <c r="AR70" s="28">
        <v>655.91</v>
      </c>
      <c r="AS70" s="28">
        <v>654.62</v>
      </c>
      <c r="AT70" s="28">
        <v>655.94</v>
      </c>
      <c r="AU70" s="28">
        <v>655.1</v>
      </c>
      <c r="AV70" s="28">
        <v>654.16999999999996</v>
      </c>
      <c r="AW70" s="28">
        <v>654.57000000000005</v>
      </c>
      <c r="AX70" s="28">
        <v>655.74</v>
      </c>
      <c r="AY70" s="28">
        <v>655.48</v>
      </c>
      <c r="AZ70" s="28">
        <v>656.03</v>
      </c>
      <c r="BA70" s="28">
        <v>654.78</v>
      </c>
      <c r="BB70" s="28">
        <v>655.1</v>
      </c>
      <c r="BC70" s="28">
        <v>655.25</v>
      </c>
      <c r="BD70" s="28">
        <v>655.51</v>
      </c>
      <c r="BE70" s="28">
        <v>655.53</v>
      </c>
      <c r="BF70" s="28">
        <v>656.32</v>
      </c>
      <c r="BG70" s="28">
        <v>656.03</v>
      </c>
      <c r="BH70" s="28">
        <v>657.7</v>
      </c>
      <c r="BI70" s="28">
        <v>656.49</v>
      </c>
      <c r="BJ70" s="28">
        <v>654.82000000000005</v>
      </c>
    </row>
    <row r="71" spans="1:62" x14ac:dyDescent="0.25">
      <c r="A71" s="28" t="s">
        <v>30</v>
      </c>
      <c r="B71" s="28" t="s">
        <v>31</v>
      </c>
      <c r="C71" s="28" t="s">
        <v>32</v>
      </c>
      <c r="D71" s="28" t="s">
        <v>33</v>
      </c>
      <c r="E71" s="28" t="s">
        <v>52</v>
      </c>
      <c r="F71" s="28" t="s">
        <v>53</v>
      </c>
      <c r="G71" s="28" t="s">
        <v>25</v>
      </c>
      <c r="H71" s="28">
        <v>62</v>
      </c>
    </row>
    <row r="72" spans="1:62" x14ac:dyDescent="0.25">
      <c r="A72" s="5">
        <v>46169</v>
      </c>
      <c r="B72" s="5">
        <v>46169</v>
      </c>
      <c r="C72" s="5">
        <v>46169</v>
      </c>
      <c r="D72" s="5">
        <v>46169</v>
      </c>
      <c r="E72" s="5">
        <v>46170</v>
      </c>
      <c r="F72" s="5">
        <v>46170</v>
      </c>
      <c r="G72" s="5">
        <v>46171</v>
      </c>
      <c r="H72" s="5">
        <v>46171</v>
      </c>
      <c r="I72" s="5">
        <v>46171</v>
      </c>
      <c r="J72" s="5">
        <v>46171</v>
      </c>
      <c r="K72" s="5">
        <v>46172</v>
      </c>
      <c r="L72" s="5">
        <v>46172</v>
      </c>
      <c r="M72" s="5">
        <v>46172</v>
      </c>
      <c r="N72" s="5">
        <v>46174</v>
      </c>
      <c r="O72" s="5">
        <v>46174</v>
      </c>
      <c r="P72" s="5">
        <v>46174</v>
      </c>
      <c r="Q72" s="5">
        <v>46174</v>
      </c>
      <c r="R72" s="5">
        <v>46175</v>
      </c>
      <c r="S72" s="5">
        <v>46175</v>
      </c>
      <c r="T72" s="5">
        <v>46175</v>
      </c>
      <c r="U72" s="5">
        <v>46176</v>
      </c>
      <c r="V72" s="5">
        <v>46176</v>
      </c>
      <c r="W72" s="5">
        <v>46176</v>
      </c>
      <c r="X72" s="5">
        <v>46176</v>
      </c>
      <c r="Y72" s="5">
        <v>46176</v>
      </c>
      <c r="Z72" s="5">
        <v>46176</v>
      </c>
      <c r="AA72" s="5">
        <v>46176</v>
      </c>
      <c r="AB72" s="5">
        <v>46177</v>
      </c>
      <c r="AC72" s="5">
        <v>46178</v>
      </c>
      <c r="AD72" s="5">
        <v>46178</v>
      </c>
      <c r="AE72" s="5">
        <v>46178</v>
      </c>
      <c r="AF72" s="5">
        <v>46179</v>
      </c>
      <c r="AG72" s="5">
        <v>46180</v>
      </c>
      <c r="AH72" s="5">
        <v>46180</v>
      </c>
      <c r="AI72" s="5">
        <v>46180</v>
      </c>
      <c r="AJ72" s="5">
        <v>46180</v>
      </c>
      <c r="AK72" s="5">
        <v>46181</v>
      </c>
      <c r="AL72" s="5">
        <v>46181</v>
      </c>
      <c r="AM72" s="5">
        <v>46181</v>
      </c>
      <c r="AN72" s="5">
        <v>46181</v>
      </c>
      <c r="AO72" s="5">
        <v>46181</v>
      </c>
      <c r="AP72" s="5">
        <v>46182</v>
      </c>
      <c r="AQ72" s="5">
        <v>46182</v>
      </c>
      <c r="AR72" s="5">
        <v>46182</v>
      </c>
      <c r="AS72" s="5">
        <v>46182</v>
      </c>
      <c r="AT72" s="5">
        <v>46182</v>
      </c>
      <c r="AU72" s="5">
        <v>46183</v>
      </c>
      <c r="AV72" s="5">
        <v>46183</v>
      </c>
      <c r="AW72" s="5">
        <v>46183</v>
      </c>
      <c r="AX72" s="5">
        <v>46183</v>
      </c>
      <c r="AY72" s="5">
        <v>46183</v>
      </c>
      <c r="AZ72" s="5">
        <v>46184</v>
      </c>
      <c r="BA72" s="5">
        <v>46184</v>
      </c>
      <c r="BB72" s="5">
        <v>46184</v>
      </c>
      <c r="BC72" s="5">
        <v>46184</v>
      </c>
      <c r="BD72" s="5">
        <v>46184</v>
      </c>
      <c r="BE72" s="5">
        <v>46185</v>
      </c>
      <c r="BF72" s="5">
        <v>46185</v>
      </c>
      <c r="BG72" s="5">
        <v>46185</v>
      </c>
      <c r="BH72" s="5">
        <v>46185</v>
      </c>
      <c r="BI72" s="5">
        <v>46186</v>
      </c>
      <c r="BJ72" s="5">
        <v>46186</v>
      </c>
    </row>
    <row r="73" spans="1:62" x14ac:dyDescent="0.25">
      <c r="A73" s="28">
        <v>816948</v>
      </c>
      <c r="B73" s="28">
        <v>816987</v>
      </c>
      <c r="C73" s="28">
        <v>816998</v>
      </c>
      <c r="D73" s="28">
        <v>817092</v>
      </c>
      <c r="E73" s="28">
        <v>817353</v>
      </c>
      <c r="F73" s="28">
        <v>817441</v>
      </c>
      <c r="G73" s="28">
        <v>817773</v>
      </c>
      <c r="H73" s="28">
        <v>817861</v>
      </c>
      <c r="I73" s="28">
        <v>817943</v>
      </c>
      <c r="J73" s="28">
        <v>817985</v>
      </c>
      <c r="K73" s="28">
        <v>818214</v>
      </c>
      <c r="L73" s="28">
        <v>818254</v>
      </c>
      <c r="M73" s="28">
        <v>818291</v>
      </c>
      <c r="N73" s="28">
        <v>818439</v>
      </c>
      <c r="O73" s="28">
        <v>818580</v>
      </c>
      <c r="P73" s="28">
        <v>818627</v>
      </c>
      <c r="Q73" s="28">
        <v>818667</v>
      </c>
      <c r="R73" s="28">
        <v>818839</v>
      </c>
      <c r="S73" s="28">
        <v>818934</v>
      </c>
      <c r="T73" s="28">
        <v>819019</v>
      </c>
      <c r="U73" s="28">
        <v>819103</v>
      </c>
      <c r="V73" s="28">
        <v>819271</v>
      </c>
      <c r="W73" s="28">
        <v>819315</v>
      </c>
      <c r="X73" s="28">
        <v>819370</v>
      </c>
      <c r="Y73" s="28">
        <v>819445</v>
      </c>
      <c r="Z73" s="28">
        <v>819491</v>
      </c>
      <c r="AA73" s="28">
        <v>819533</v>
      </c>
      <c r="AB73" s="28">
        <v>819706</v>
      </c>
      <c r="AC73" s="28">
        <v>819995</v>
      </c>
      <c r="AD73" s="28">
        <v>820041</v>
      </c>
      <c r="AE73" s="28">
        <v>820088</v>
      </c>
      <c r="AF73" s="28">
        <v>820271</v>
      </c>
      <c r="AG73" s="28">
        <v>820495</v>
      </c>
      <c r="AH73" s="28">
        <v>820568</v>
      </c>
      <c r="AI73" s="28">
        <v>820630</v>
      </c>
      <c r="AJ73" s="28">
        <v>820670</v>
      </c>
      <c r="AK73" s="28">
        <v>820873</v>
      </c>
      <c r="AL73" s="28">
        <v>820921</v>
      </c>
      <c r="AM73" s="28">
        <v>820957</v>
      </c>
      <c r="AN73" s="28">
        <v>821024</v>
      </c>
      <c r="AO73" s="28">
        <v>821060</v>
      </c>
      <c r="AP73" s="28">
        <v>821288</v>
      </c>
      <c r="AQ73" s="28">
        <v>821319</v>
      </c>
      <c r="AR73" s="28">
        <v>821356</v>
      </c>
      <c r="AS73" s="28">
        <v>821451</v>
      </c>
      <c r="AT73" s="28">
        <v>821500</v>
      </c>
      <c r="AU73" s="28">
        <v>821710</v>
      </c>
      <c r="AV73" s="28">
        <v>821754</v>
      </c>
      <c r="AW73" s="28">
        <v>821805</v>
      </c>
      <c r="AX73" s="28">
        <v>821885</v>
      </c>
      <c r="AY73" s="28">
        <v>821931</v>
      </c>
      <c r="AZ73" s="28">
        <v>822143</v>
      </c>
      <c r="BA73" s="28">
        <v>822185</v>
      </c>
      <c r="BB73" s="28">
        <v>822236</v>
      </c>
      <c r="BC73" s="28">
        <v>822306</v>
      </c>
      <c r="BD73" s="28">
        <v>822352</v>
      </c>
      <c r="BE73" s="28">
        <v>822558</v>
      </c>
      <c r="BF73" s="28">
        <v>822647</v>
      </c>
      <c r="BG73" s="28">
        <v>822737</v>
      </c>
      <c r="BH73" s="28">
        <v>822777</v>
      </c>
      <c r="BI73" s="28">
        <v>823003</v>
      </c>
      <c r="BJ73" s="28">
        <v>823082</v>
      </c>
    </row>
    <row r="74" spans="1:62" x14ac:dyDescent="0.25">
      <c r="A74" s="28">
        <v>420</v>
      </c>
      <c r="B74" s="28">
        <v>420</v>
      </c>
      <c r="C74" s="28">
        <v>420</v>
      </c>
      <c r="D74" s="28">
        <v>420</v>
      </c>
      <c r="E74" s="28">
        <v>420</v>
      </c>
      <c r="F74" s="28">
        <v>420</v>
      </c>
      <c r="G74" s="28">
        <v>420</v>
      </c>
      <c r="H74" s="28">
        <v>420</v>
      </c>
      <c r="I74" s="28">
        <v>420</v>
      </c>
      <c r="J74" s="28">
        <v>420</v>
      </c>
      <c r="K74" s="28">
        <v>420</v>
      </c>
      <c r="L74" s="28">
        <v>420</v>
      </c>
      <c r="M74" s="28">
        <v>420</v>
      </c>
      <c r="N74" s="28">
        <v>420</v>
      </c>
      <c r="O74" s="28">
        <v>420</v>
      </c>
      <c r="P74" s="28">
        <v>420</v>
      </c>
      <c r="Q74" s="28">
        <v>420</v>
      </c>
      <c r="R74" s="28">
        <v>420</v>
      </c>
      <c r="S74" s="28">
        <v>420</v>
      </c>
      <c r="T74" s="28">
        <v>420</v>
      </c>
      <c r="U74" s="28">
        <v>420</v>
      </c>
      <c r="V74" s="28">
        <v>420</v>
      </c>
      <c r="W74" s="28">
        <v>420</v>
      </c>
      <c r="X74" s="28">
        <v>420</v>
      </c>
      <c r="Y74" s="28">
        <v>420</v>
      </c>
      <c r="Z74" s="28">
        <v>420</v>
      </c>
      <c r="AA74" s="28">
        <v>420</v>
      </c>
      <c r="AB74" s="28">
        <v>420</v>
      </c>
      <c r="AC74" s="28">
        <v>420</v>
      </c>
      <c r="AD74" s="28">
        <v>420</v>
      </c>
      <c r="AE74" s="28">
        <v>420</v>
      </c>
      <c r="AF74" s="28">
        <v>420</v>
      </c>
      <c r="AG74" s="28">
        <v>420</v>
      </c>
      <c r="AH74" s="28">
        <v>420</v>
      </c>
      <c r="AI74" s="28">
        <v>420</v>
      </c>
      <c r="AJ74" s="28">
        <v>420</v>
      </c>
      <c r="AK74" s="28">
        <v>420</v>
      </c>
      <c r="AL74" s="28">
        <v>420</v>
      </c>
      <c r="AM74" s="28">
        <v>420</v>
      </c>
      <c r="AN74" s="28">
        <v>420</v>
      </c>
      <c r="AO74" s="28">
        <v>420</v>
      </c>
      <c r="AP74" s="28">
        <v>420</v>
      </c>
      <c r="AQ74" s="28">
        <v>420</v>
      </c>
      <c r="AR74" s="28">
        <v>420</v>
      </c>
      <c r="AS74" s="28">
        <v>420</v>
      </c>
      <c r="AT74" s="28">
        <v>420</v>
      </c>
      <c r="AU74" s="28">
        <v>420</v>
      </c>
      <c r="AV74" s="28">
        <v>420</v>
      </c>
      <c r="AW74" s="28">
        <v>420</v>
      </c>
      <c r="AX74" s="28">
        <v>420</v>
      </c>
      <c r="AY74" s="28">
        <v>420</v>
      </c>
      <c r="AZ74" s="28">
        <v>420</v>
      </c>
      <c r="BA74" s="28">
        <v>420</v>
      </c>
      <c r="BB74" s="28">
        <v>420</v>
      </c>
      <c r="BC74" s="28">
        <v>420</v>
      </c>
      <c r="BD74" s="28">
        <v>420</v>
      </c>
      <c r="BE74" s="28">
        <v>420</v>
      </c>
      <c r="BF74" s="28">
        <v>420</v>
      </c>
      <c r="BG74" s="28">
        <v>420</v>
      </c>
      <c r="BH74" s="28">
        <v>420</v>
      </c>
      <c r="BI74" s="28">
        <v>420</v>
      </c>
      <c r="BJ74" s="28">
        <v>420</v>
      </c>
    </row>
    <row r="75" spans="1:62" x14ac:dyDescent="0.25">
      <c r="A75" s="28">
        <v>416</v>
      </c>
      <c r="B75" s="28">
        <v>416</v>
      </c>
      <c r="C75" s="28">
        <v>416</v>
      </c>
      <c r="D75" s="28">
        <v>416</v>
      </c>
      <c r="E75" s="28">
        <v>416</v>
      </c>
      <c r="F75" s="28">
        <v>416</v>
      </c>
      <c r="G75" s="28">
        <v>416</v>
      </c>
      <c r="H75" s="28">
        <v>416</v>
      </c>
      <c r="I75" s="28">
        <v>416</v>
      </c>
      <c r="J75" s="28">
        <v>416</v>
      </c>
      <c r="K75" s="28">
        <v>416</v>
      </c>
      <c r="L75" s="28">
        <v>416</v>
      </c>
      <c r="M75" s="28">
        <v>416</v>
      </c>
      <c r="N75" s="28">
        <v>416</v>
      </c>
      <c r="O75" s="28">
        <v>416</v>
      </c>
      <c r="P75" s="28">
        <v>416</v>
      </c>
      <c r="Q75" s="28">
        <v>416</v>
      </c>
      <c r="R75" s="28">
        <v>416</v>
      </c>
      <c r="S75" s="28">
        <v>416</v>
      </c>
      <c r="T75" s="28">
        <v>416</v>
      </c>
      <c r="U75" s="28">
        <v>416</v>
      </c>
      <c r="V75" s="28">
        <v>416</v>
      </c>
      <c r="W75" s="28">
        <v>416</v>
      </c>
      <c r="X75" s="28">
        <v>416</v>
      </c>
      <c r="Y75" s="28">
        <v>416</v>
      </c>
      <c r="Z75" s="28">
        <v>416</v>
      </c>
      <c r="AA75" s="28">
        <v>416</v>
      </c>
      <c r="AB75" s="28">
        <v>416</v>
      </c>
      <c r="AC75" s="28">
        <v>416</v>
      </c>
      <c r="AD75" s="28">
        <v>416</v>
      </c>
      <c r="AE75" s="28">
        <v>416</v>
      </c>
      <c r="AF75" s="28">
        <v>416</v>
      </c>
      <c r="AG75" s="28">
        <v>416</v>
      </c>
      <c r="AH75" s="28">
        <v>416</v>
      </c>
      <c r="AI75" s="28">
        <v>416</v>
      </c>
      <c r="AJ75" s="28">
        <v>416</v>
      </c>
      <c r="AK75" s="28">
        <v>416</v>
      </c>
      <c r="AL75" s="28">
        <v>416</v>
      </c>
      <c r="AM75" s="28">
        <v>416</v>
      </c>
      <c r="AN75" s="28">
        <v>416</v>
      </c>
      <c r="AO75" s="28">
        <v>416</v>
      </c>
      <c r="AP75" s="28">
        <v>416</v>
      </c>
      <c r="AQ75" s="28">
        <v>416</v>
      </c>
      <c r="AR75" s="28">
        <v>416</v>
      </c>
      <c r="AS75" s="28">
        <v>416</v>
      </c>
      <c r="AT75" s="28">
        <v>416</v>
      </c>
      <c r="AU75" s="28">
        <v>416</v>
      </c>
      <c r="AV75" s="28">
        <v>416</v>
      </c>
      <c r="AW75" s="28">
        <v>416</v>
      </c>
      <c r="AX75" s="28">
        <v>416</v>
      </c>
      <c r="AY75" s="28">
        <v>416</v>
      </c>
      <c r="AZ75" s="28">
        <v>416</v>
      </c>
      <c r="BA75" s="28">
        <v>416</v>
      </c>
      <c r="BB75" s="28">
        <v>416</v>
      </c>
      <c r="BC75" s="28">
        <v>416</v>
      </c>
      <c r="BD75" s="28">
        <v>416</v>
      </c>
      <c r="BE75" s="28">
        <v>416</v>
      </c>
      <c r="BF75" s="28">
        <v>416</v>
      </c>
      <c r="BG75" s="28">
        <v>416</v>
      </c>
      <c r="BH75" s="28">
        <v>416</v>
      </c>
      <c r="BI75" s="28">
        <v>416</v>
      </c>
      <c r="BJ75" s="28">
        <v>416</v>
      </c>
    </row>
    <row r="76" spans="1:62" x14ac:dyDescent="0.25">
      <c r="A76" s="28">
        <v>424</v>
      </c>
      <c r="B76" s="28">
        <v>424</v>
      </c>
      <c r="C76" s="28">
        <v>424</v>
      </c>
      <c r="D76" s="28">
        <v>424</v>
      </c>
      <c r="E76" s="28">
        <v>424</v>
      </c>
      <c r="F76" s="28">
        <v>424</v>
      </c>
      <c r="G76" s="28">
        <v>424</v>
      </c>
      <c r="H76" s="28">
        <v>424</v>
      </c>
      <c r="I76" s="28">
        <v>424</v>
      </c>
      <c r="J76" s="28">
        <v>424</v>
      </c>
      <c r="K76" s="28">
        <v>424</v>
      </c>
      <c r="L76" s="28">
        <v>424</v>
      </c>
      <c r="M76" s="28">
        <v>424</v>
      </c>
      <c r="N76" s="28">
        <v>424</v>
      </c>
      <c r="O76" s="28">
        <v>424</v>
      </c>
      <c r="P76" s="28">
        <v>424</v>
      </c>
      <c r="Q76" s="28">
        <v>424</v>
      </c>
      <c r="R76" s="28">
        <v>424</v>
      </c>
      <c r="S76" s="28">
        <v>424</v>
      </c>
      <c r="T76" s="28">
        <v>424</v>
      </c>
      <c r="U76" s="28">
        <v>424</v>
      </c>
      <c r="V76" s="28">
        <v>424</v>
      </c>
      <c r="W76" s="28">
        <v>424</v>
      </c>
      <c r="X76" s="28">
        <v>424</v>
      </c>
      <c r="Y76" s="28">
        <v>424</v>
      </c>
      <c r="Z76" s="28">
        <v>424</v>
      </c>
      <c r="AA76" s="28">
        <v>424</v>
      </c>
      <c r="AB76" s="28">
        <v>424</v>
      </c>
      <c r="AC76" s="28">
        <v>424</v>
      </c>
      <c r="AD76" s="28">
        <v>424</v>
      </c>
      <c r="AE76" s="28">
        <v>424</v>
      </c>
      <c r="AF76" s="28">
        <v>424</v>
      </c>
      <c r="AG76" s="28">
        <v>424</v>
      </c>
      <c r="AH76" s="28">
        <v>424</v>
      </c>
      <c r="AI76" s="28">
        <v>424</v>
      </c>
      <c r="AJ76" s="28">
        <v>424</v>
      </c>
      <c r="AK76" s="28">
        <v>424</v>
      </c>
      <c r="AL76" s="28">
        <v>424</v>
      </c>
      <c r="AM76" s="28">
        <v>424</v>
      </c>
      <c r="AN76" s="28">
        <v>424</v>
      </c>
      <c r="AO76" s="28">
        <v>424</v>
      </c>
      <c r="AP76" s="28">
        <v>424</v>
      </c>
      <c r="AQ76" s="28">
        <v>424</v>
      </c>
      <c r="AR76" s="28">
        <v>424</v>
      </c>
      <c r="AS76" s="28">
        <v>424</v>
      </c>
      <c r="AT76" s="28">
        <v>424</v>
      </c>
      <c r="AU76" s="28">
        <v>424</v>
      </c>
      <c r="AV76" s="28">
        <v>424</v>
      </c>
      <c r="AW76" s="28">
        <v>424</v>
      </c>
      <c r="AX76" s="28">
        <v>424</v>
      </c>
      <c r="AY76" s="28">
        <v>424</v>
      </c>
      <c r="AZ76" s="28">
        <v>424</v>
      </c>
      <c r="BA76" s="28">
        <v>424</v>
      </c>
      <c r="BB76" s="28">
        <v>424</v>
      </c>
      <c r="BC76" s="28">
        <v>424</v>
      </c>
      <c r="BD76" s="28">
        <v>424</v>
      </c>
      <c r="BE76" s="28">
        <v>424</v>
      </c>
      <c r="BF76" s="28">
        <v>424</v>
      </c>
      <c r="BG76" s="28">
        <v>424</v>
      </c>
      <c r="BH76" s="28">
        <v>424</v>
      </c>
      <c r="BI76" s="28">
        <v>424</v>
      </c>
      <c r="BJ76" s="28">
        <v>424</v>
      </c>
    </row>
    <row r="77" spans="1:62" x14ac:dyDescent="0.25">
      <c r="A77" s="28">
        <v>418.61</v>
      </c>
      <c r="B77" s="28">
        <v>420.34</v>
      </c>
      <c r="C77" s="28">
        <v>419.95</v>
      </c>
      <c r="D77" s="28">
        <v>420.6</v>
      </c>
      <c r="E77" s="28">
        <v>418.6</v>
      </c>
      <c r="F77" s="28">
        <v>419.9</v>
      </c>
      <c r="G77" s="28">
        <v>418.9</v>
      </c>
      <c r="H77" s="28">
        <v>419.7</v>
      </c>
      <c r="I77" s="28">
        <v>421.2</v>
      </c>
      <c r="J77" s="28">
        <v>420.44</v>
      </c>
      <c r="K77" s="28">
        <v>419.25</v>
      </c>
      <c r="L77" s="28">
        <v>419.96</v>
      </c>
      <c r="M77" s="28">
        <v>420.27</v>
      </c>
      <c r="N77" s="28">
        <v>420.36</v>
      </c>
      <c r="O77" s="28">
        <v>421.26</v>
      </c>
      <c r="P77" s="28">
        <v>421.3</v>
      </c>
      <c r="Q77" s="28">
        <v>420.12</v>
      </c>
      <c r="R77" s="28">
        <v>419.48</v>
      </c>
      <c r="S77" s="28">
        <v>421.4</v>
      </c>
      <c r="T77" s="28">
        <v>421.2</v>
      </c>
      <c r="U77" s="28">
        <v>421.2</v>
      </c>
      <c r="V77" s="28">
        <v>419.63</v>
      </c>
      <c r="W77" s="28">
        <v>420.1</v>
      </c>
      <c r="X77" s="28">
        <v>421.1</v>
      </c>
      <c r="Y77" s="28">
        <v>421.4</v>
      </c>
      <c r="Z77" s="28">
        <v>421.09</v>
      </c>
      <c r="AA77" s="28">
        <v>420.59</v>
      </c>
      <c r="AB77" s="28">
        <v>419.16</v>
      </c>
      <c r="AC77" s="28">
        <v>420.18</v>
      </c>
      <c r="AD77" s="28">
        <v>420.98</v>
      </c>
      <c r="AE77" s="28">
        <v>420.5</v>
      </c>
      <c r="AF77" s="28">
        <v>419.6</v>
      </c>
      <c r="AG77" s="28">
        <v>420.67</v>
      </c>
      <c r="AH77" s="28">
        <v>419.34</v>
      </c>
      <c r="AI77" s="28">
        <v>419.8</v>
      </c>
      <c r="AJ77" s="28">
        <v>420.53</v>
      </c>
      <c r="AK77" s="28">
        <v>419.37</v>
      </c>
      <c r="AL77" s="28">
        <v>420.56</v>
      </c>
      <c r="AM77" s="28">
        <v>420.32</v>
      </c>
      <c r="AN77" s="28">
        <v>419.68</v>
      </c>
      <c r="AO77" s="28">
        <v>420.14</v>
      </c>
      <c r="AP77" s="28">
        <v>418.37</v>
      </c>
      <c r="AQ77" s="28">
        <v>419.92</v>
      </c>
      <c r="AR77" s="28">
        <v>420.17</v>
      </c>
      <c r="AS77" s="28">
        <v>419.79</v>
      </c>
      <c r="AT77" s="28">
        <v>420.7</v>
      </c>
      <c r="AU77" s="28">
        <v>418.85</v>
      </c>
      <c r="AV77" s="28">
        <v>420.43</v>
      </c>
      <c r="AW77" s="28">
        <v>420.55</v>
      </c>
      <c r="AX77" s="28">
        <v>421.05</v>
      </c>
      <c r="AY77" s="28">
        <v>420.7</v>
      </c>
      <c r="AZ77" s="28">
        <v>418.44</v>
      </c>
      <c r="BA77" s="28">
        <v>421.33</v>
      </c>
      <c r="BB77" s="28">
        <v>420.55</v>
      </c>
      <c r="BC77" s="28">
        <v>420.31</v>
      </c>
      <c r="BD77" s="28">
        <v>420.78</v>
      </c>
      <c r="BE77" s="28">
        <v>418.89</v>
      </c>
      <c r="BF77" s="28">
        <v>420.32</v>
      </c>
      <c r="BG77" s="28">
        <v>420.28</v>
      </c>
      <c r="BH77" s="28">
        <v>420.76</v>
      </c>
      <c r="BI77" s="28">
        <v>419.3</v>
      </c>
      <c r="BJ77" s="28">
        <v>420.88</v>
      </c>
    </row>
    <row r="78" spans="1:62" x14ac:dyDescent="0.25">
      <c r="A78" s="28" t="s">
        <v>30</v>
      </c>
      <c r="B78" s="28" t="s">
        <v>31</v>
      </c>
      <c r="C78" s="28" t="s">
        <v>54</v>
      </c>
      <c r="D78" s="28" t="s">
        <v>55</v>
      </c>
      <c r="E78" s="28" t="s">
        <v>56</v>
      </c>
      <c r="F78" s="28" t="s">
        <v>57</v>
      </c>
      <c r="G78" s="28" t="s">
        <v>18</v>
      </c>
      <c r="H78" s="28">
        <v>62</v>
      </c>
    </row>
    <row r="79" spans="1:62" x14ac:dyDescent="0.25">
      <c r="A79" s="5">
        <v>46169</v>
      </c>
      <c r="B79" s="5">
        <v>46169</v>
      </c>
      <c r="C79" s="5">
        <v>46169</v>
      </c>
      <c r="D79" s="5">
        <v>46169</v>
      </c>
      <c r="E79" s="5">
        <v>46170</v>
      </c>
      <c r="F79" s="5">
        <v>46170</v>
      </c>
      <c r="G79" s="5">
        <v>46171</v>
      </c>
      <c r="H79" s="5">
        <v>46171</v>
      </c>
      <c r="I79" s="5">
        <v>46171</v>
      </c>
      <c r="J79" s="5">
        <v>46171</v>
      </c>
      <c r="K79" s="5">
        <v>46172</v>
      </c>
      <c r="L79" s="5">
        <v>46172</v>
      </c>
      <c r="M79" s="5">
        <v>46172</v>
      </c>
      <c r="N79" s="5">
        <v>46174</v>
      </c>
      <c r="O79" s="5">
        <v>46174</v>
      </c>
      <c r="P79" s="5">
        <v>46174</v>
      </c>
      <c r="Q79" s="5">
        <v>46174</v>
      </c>
      <c r="R79" s="5">
        <v>46175</v>
      </c>
      <c r="S79" s="5">
        <v>46175</v>
      </c>
      <c r="T79" s="5">
        <v>46175</v>
      </c>
      <c r="U79" s="5">
        <v>46176</v>
      </c>
      <c r="V79" s="5">
        <v>46176</v>
      </c>
      <c r="W79" s="5">
        <v>46176</v>
      </c>
      <c r="X79" s="5">
        <v>46176</v>
      </c>
      <c r="Y79" s="5">
        <v>46176</v>
      </c>
      <c r="Z79" s="5">
        <v>46176</v>
      </c>
      <c r="AA79" s="5">
        <v>46176</v>
      </c>
      <c r="AB79" s="5">
        <v>46177</v>
      </c>
      <c r="AC79" s="5">
        <v>46178</v>
      </c>
      <c r="AD79" s="5">
        <v>46178</v>
      </c>
      <c r="AE79" s="5">
        <v>46178</v>
      </c>
      <c r="AF79" s="5">
        <v>46179</v>
      </c>
      <c r="AG79" s="5">
        <v>46180</v>
      </c>
      <c r="AH79" s="5">
        <v>46180</v>
      </c>
      <c r="AI79" s="5">
        <v>46180</v>
      </c>
      <c r="AJ79" s="5">
        <v>46180</v>
      </c>
      <c r="AK79" s="5">
        <v>46181</v>
      </c>
      <c r="AL79" s="5">
        <v>46181</v>
      </c>
      <c r="AM79" s="5">
        <v>46181</v>
      </c>
      <c r="AN79" s="5">
        <v>46181</v>
      </c>
      <c r="AO79" s="5">
        <v>46181</v>
      </c>
      <c r="AP79" s="5">
        <v>46182</v>
      </c>
      <c r="AQ79" s="5">
        <v>46182</v>
      </c>
      <c r="AR79" s="5">
        <v>46182</v>
      </c>
      <c r="AS79" s="5">
        <v>46182</v>
      </c>
      <c r="AT79" s="5">
        <v>46182</v>
      </c>
      <c r="AU79" s="5">
        <v>46183</v>
      </c>
      <c r="AV79" s="5">
        <v>46183</v>
      </c>
      <c r="AW79" s="5">
        <v>46183</v>
      </c>
      <c r="AX79" s="5">
        <v>46183</v>
      </c>
      <c r="AY79" s="5">
        <v>46183</v>
      </c>
      <c r="AZ79" s="5">
        <v>46184</v>
      </c>
      <c r="BA79" s="5">
        <v>46184</v>
      </c>
      <c r="BB79" s="5">
        <v>46184</v>
      </c>
      <c r="BC79" s="5">
        <v>46184</v>
      </c>
      <c r="BD79" s="5">
        <v>46184</v>
      </c>
      <c r="BE79" s="5">
        <v>46185</v>
      </c>
      <c r="BF79" s="5">
        <v>46185</v>
      </c>
      <c r="BG79" s="5">
        <v>46185</v>
      </c>
      <c r="BH79" s="5">
        <v>46185</v>
      </c>
      <c r="BI79" s="5">
        <v>46186</v>
      </c>
      <c r="BJ79" s="5">
        <v>46186</v>
      </c>
    </row>
    <row r="80" spans="1:62" x14ac:dyDescent="0.25">
      <c r="A80" s="28">
        <v>816948</v>
      </c>
      <c r="B80" s="28">
        <v>816987</v>
      </c>
      <c r="C80" s="28">
        <v>816998</v>
      </c>
      <c r="D80" s="28">
        <v>817092</v>
      </c>
      <c r="E80" s="28">
        <v>817353</v>
      </c>
      <c r="F80" s="28">
        <v>817441</v>
      </c>
      <c r="G80" s="28">
        <v>817773</v>
      </c>
      <c r="H80" s="28">
        <v>817861</v>
      </c>
      <c r="I80" s="28">
        <v>817943</v>
      </c>
      <c r="J80" s="28">
        <v>817985</v>
      </c>
      <c r="K80" s="28">
        <v>818214</v>
      </c>
      <c r="L80" s="28">
        <v>818254</v>
      </c>
      <c r="M80" s="28">
        <v>818291</v>
      </c>
      <c r="N80" s="28">
        <v>818439</v>
      </c>
      <c r="O80" s="28">
        <v>818580</v>
      </c>
      <c r="P80" s="28">
        <v>818627</v>
      </c>
      <c r="Q80" s="28">
        <v>818667</v>
      </c>
      <c r="R80" s="28">
        <v>818839</v>
      </c>
      <c r="S80" s="28">
        <v>818934</v>
      </c>
      <c r="T80" s="28">
        <v>819019</v>
      </c>
      <c r="U80" s="28">
        <v>819103</v>
      </c>
      <c r="V80" s="28">
        <v>819271</v>
      </c>
      <c r="W80" s="28">
        <v>819315</v>
      </c>
      <c r="X80" s="28">
        <v>819370</v>
      </c>
      <c r="Y80" s="28">
        <v>819445</v>
      </c>
      <c r="Z80" s="28">
        <v>819491</v>
      </c>
      <c r="AA80" s="28">
        <v>819533</v>
      </c>
      <c r="AB80" s="28">
        <v>819706</v>
      </c>
      <c r="AC80" s="28">
        <v>819995</v>
      </c>
      <c r="AD80" s="28">
        <v>820041</v>
      </c>
      <c r="AE80" s="28">
        <v>820088</v>
      </c>
      <c r="AF80" s="28">
        <v>820271</v>
      </c>
      <c r="AG80" s="28">
        <v>820495</v>
      </c>
      <c r="AH80" s="28">
        <v>820568</v>
      </c>
      <c r="AI80" s="28">
        <v>820630</v>
      </c>
      <c r="AJ80" s="28">
        <v>820670</v>
      </c>
      <c r="AK80" s="28">
        <v>820873</v>
      </c>
      <c r="AL80" s="28">
        <v>820921</v>
      </c>
      <c r="AM80" s="28">
        <v>820957</v>
      </c>
      <c r="AN80" s="28">
        <v>821024</v>
      </c>
      <c r="AO80" s="28">
        <v>821060</v>
      </c>
      <c r="AP80" s="28">
        <v>821288</v>
      </c>
      <c r="AQ80" s="28">
        <v>821319</v>
      </c>
      <c r="AR80" s="28">
        <v>821356</v>
      </c>
      <c r="AS80" s="28">
        <v>821451</v>
      </c>
      <c r="AT80" s="28">
        <v>821500</v>
      </c>
      <c r="AU80" s="28">
        <v>821710</v>
      </c>
      <c r="AV80" s="28">
        <v>821754</v>
      </c>
      <c r="AW80" s="28">
        <v>821805</v>
      </c>
      <c r="AX80" s="28">
        <v>821885</v>
      </c>
      <c r="AY80" s="28">
        <v>821931</v>
      </c>
      <c r="AZ80" s="28">
        <v>822143</v>
      </c>
      <c r="BA80" s="28">
        <v>822185</v>
      </c>
      <c r="BB80" s="28">
        <v>822236</v>
      </c>
      <c r="BC80" s="28">
        <v>822306</v>
      </c>
      <c r="BD80" s="28">
        <v>822352</v>
      </c>
      <c r="BE80" s="28">
        <v>822558</v>
      </c>
      <c r="BF80" s="28">
        <v>822647</v>
      </c>
      <c r="BG80" s="28">
        <v>822737</v>
      </c>
      <c r="BH80" s="28">
        <v>822777</v>
      </c>
      <c r="BI80" s="28">
        <v>823003</v>
      </c>
      <c r="BJ80" s="28">
        <v>823082</v>
      </c>
    </row>
    <row r="81" spans="1:62" x14ac:dyDescent="0.25">
      <c r="A81" s="28">
        <v>-459.6</v>
      </c>
      <c r="B81" s="28">
        <v>-459.6</v>
      </c>
      <c r="C81" s="28">
        <v>-459.6</v>
      </c>
      <c r="D81" s="28">
        <v>-459.6</v>
      </c>
      <c r="E81" s="28">
        <v>-459.6</v>
      </c>
      <c r="F81" s="28">
        <v>-459.6</v>
      </c>
      <c r="G81" s="28">
        <v>-459.6</v>
      </c>
      <c r="H81" s="28">
        <v>-459.6</v>
      </c>
      <c r="I81" s="28">
        <v>-459.6</v>
      </c>
      <c r="J81" s="28">
        <v>-459.6</v>
      </c>
      <c r="K81" s="28">
        <v>-459.6</v>
      </c>
      <c r="L81" s="28">
        <v>-459.6</v>
      </c>
      <c r="M81" s="28">
        <v>-459.6</v>
      </c>
      <c r="N81" s="28">
        <v>-459.6</v>
      </c>
      <c r="O81" s="28">
        <v>-459.6</v>
      </c>
      <c r="P81" s="28">
        <v>-459.6</v>
      </c>
      <c r="Q81" s="28">
        <v>-459.6</v>
      </c>
      <c r="R81" s="28">
        <v>-459.6</v>
      </c>
      <c r="S81" s="28">
        <v>-459.6</v>
      </c>
      <c r="T81" s="28">
        <v>-459.6</v>
      </c>
      <c r="U81" s="28">
        <v>-459.6</v>
      </c>
      <c r="V81" s="28">
        <v>-459.6</v>
      </c>
      <c r="W81" s="28">
        <v>-459.6</v>
      </c>
      <c r="X81" s="28">
        <v>-459.6</v>
      </c>
      <c r="Y81" s="28">
        <v>-459.6</v>
      </c>
      <c r="Z81" s="28">
        <v>-459.6</v>
      </c>
      <c r="AA81" s="28">
        <v>-459.6</v>
      </c>
      <c r="AB81" s="28">
        <v>-459.6</v>
      </c>
      <c r="AC81" s="28">
        <v>-459.6</v>
      </c>
      <c r="AD81" s="28">
        <v>-459.6</v>
      </c>
      <c r="AE81" s="28">
        <v>-459.6</v>
      </c>
      <c r="AF81" s="28">
        <v>-459.6</v>
      </c>
      <c r="AG81" s="28">
        <v>-459.6</v>
      </c>
      <c r="AH81" s="28">
        <v>-459.6</v>
      </c>
      <c r="AI81" s="28">
        <v>-459.6</v>
      </c>
      <c r="AJ81" s="28">
        <v>-459.6</v>
      </c>
      <c r="AK81" s="28">
        <v>-459.6</v>
      </c>
      <c r="AL81" s="28">
        <v>-459.6</v>
      </c>
      <c r="AM81" s="28">
        <v>-459.6</v>
      </c>
      <c r="AN81" s="28">
        <v>-459.6</v>
      </c>
      <c r="AO81" s="28">
        <v>-459.6</v>
      </c>
      <c r="AP81" s="28">
        <v>-459.6</v>
      </c>
      <c r="AQ81" s="28">
        <v>-459.6</v>
      </c>
      <c r="AR81" s="28">
        <v>-459.6</v>
      </c>
      <c r="AS81" s="28">
        <v>-459.6</v>
      </c>
      <c r="AT81" s="28">
        <v>-459.6</v>
      </c>
      <c r="AU81" s="28">
        <v>-459.6</v>
      </c>
      <c r="AV81" s="28">
        <v>-459.6</v>
      </c>
      <c r="AW81" s="28">
        <v>-459.6</v>
      </c>
      <c r="AX81" s="28">
        <v>-459.6</v>
      </c>
      <c r="AY81" s="28">
        <v>-459.6</v>
      </c>
      <c r="AZ81" s="28">
        <v>-459.6</v>
      </c>
      <c r="BA81" s="28">
        <v>-459.6</v>
      </c>
      <c r="BB81" s="28">
        <v>-459.6</v>
      </c>
      <c r="BC81" s="28">
        <v>-459.6</v>
      </c>
      <c r="BD81" s="28">
        <v>-459.6</v>
      </c>
      <c r="BE81" s="28">
        <v>-459.6</v>
      </c>
      <c r="BF81" s="28">
        <v>-459.6</v>
      </c>
      <c r="BG81" s="28">
        <v>-459.6</v>
      </c>
      <c r="BH81" s="28">
        <v>-459.6</v>
      </c>
      <c r="BI81" s="28">
        <v>-459.6</v>
      </c>
      <c r="BJ81" s="28">
        <v>-459.6</v>
      </c>
    </row>
    <row r="82" spans="1:62" x14ac:dyDescent="0.25">
      <c r="A82" s="28">
        <v>-463.6</v>
      </c>
      <c r="B82" s="28">
        <v>-463.6</v>
      </c>
      <c r="C82" s="28">
        <v>-463.6</v>
      </c>
      <c r="D82" s="28">
        <v>-463.6</v>
      </c>
      <c r="E82" s="28">
        <v>-463.6</v>
      </c>
      <c r="F82" s="28">
        <v>-463.6</v>
      </c>
      <c r="G82" s="28">
        <v>-463.6</v>
      </c>
      <c r="H82" s="28">
        <v>-463.6</v>
      </c>
      <c r="I82" s="28">
        <v>-463.6</v>
      </c>
      <c r="J82" s="28">
        <v>-463.6</v>
      </c>
      <c r="K82" s="28">
        <v>-463.6</v>
      </c>
      <c r="L82" s="28">
        <v>-463.6</v>
      </c>
      <c r="M82" s="28">
        <v>-463.6</v>
      </c>
      <c r="N82" s="28">
        <v>-463.6</v>
      </c>
      <c r="O82" s="28">
        <v>-463.6</v>
      </c>
      <c r="P82" s="28">
        <v>-463.6</v>
      </c>
      <c r="Q82" s="28">
        <v>-463.6</v>
      </c>
      <c r="R82" s="28">
        <v>-463.6</v>
      </c>
      <c r="S82" s="28">
        <v>-463.6</v>
      </c>
      <c r="T82" s="28">
        <v>-463.6</v>
      </c>
      <c r="U82" s="28">
        <v>-463.6</v>
      </c>
      <c r="V82" s="28">
        <v>-463.6</v>
      </c>
      <c r="W82" s="28">
        <v>-463.6</v>
      </c>
      <c r="X82" s="28">
        <v>-463.6</v>
      </c>
      <c r="Y82" s="28">
        <v>-463.6</v>
      </c>
      <c r="Z82" s="28">
        <v>-463.6</v>
      </c>
      <c r="AA82" s="28">
        <v>-463.6</v>
      </c>
      <c r="AB82" s="28">
        <v>-463.6</v>
      </c>
      <c r="AC82" s="28">
        <v>-463.6</v>
      </c>
      <c r="AD82" s="28">
        <v>-463.6</v>
      </c>
      <c r="AE82" s="28">
        <v>-463.6</v>
      </c>
      <c r="AF82" s="28">
        <v>-463.6</v>
      </c>
      <c r="AG82" s="28">
        <v>-463.6</v>
      </c>
      <c r="AH82" s="28">
        <v>-463.6</v>
      </c>
      <c r="AI82" s="28">
        <v>-463.6</v>
      </c>
      <c r="AJ82" s="28">
        <v>-463.6</v>
      </c>
      <c r="AK82" s="28">
        <v>-463.6</v>
      </c>
      <c r="AL82" s="28">
        <v>-463.6</v>
      </c>
      <c r="AM82" s="28">
        <v>-463.6</v>
      </c>
      <c r="AN82" s="28">
        <v>-463.6</v>
      </c>
      <c r="AO82" s="28">
        <v>-463.6</v>
      </c>
      <c r="AP82" s="28">
        <v>-463.6</v>
      </c>
      <c r="AQ82" s="28">
        <v>-463.6</v>
      </c>
      <c r="AR82" s="28">
        <v>-463.6</v>
      </c>
      <c r="AS82" s="28">
        <v>-463.6</v>
      </c>
      <c r="AT82" s="28">
        <v>-463.6</v>
      </c>
      <c r="AU82" s="28">
        <v>-463.6</v>
      </c>
      <c r="AV82" s="28">
        <v>-463.6</v>
      </c>
      <c r="AW82" s="28">
        <v>-463.6</v>
      </c>
      <c r="AX82" s="28">
        <v>-463.6</v>
      </c>
      <c r="AY82" s="28">
        <v>-463.6</v>
      </c>
      <c r="AZ82" s="28">
        <v>-463.6</v>
      </c>
      <c r="BA82" s="28">
        <v>-463.6</v>
      </c>
      <c r="BB82" s="28">
        <v>-463.6</v>
      </c>
      <c r="BC82" s="28">
        <v>-463.6</v>
      </c>
      <c r="BD82" s="28">
        <v>-463.6</v>
      </c>
      <c r="BE82" s="28">
        <v>-463.6</v>
      </c>
      <c r="BF82" s="28">
        <v>-463.6</v>
      </c>
      <c r="BG82" s="28">
        <v>-463.6</v>
      </c>
      <c r="BH82" s="28">
        <v>-463.6</v>
      </c>
      <c r="BI82" s="28">
        <v>-463.6</v>
      </c>
      <c r="BJ82" s="28">
        <v>-463.6</v>
      </c>
    </row>
    <row r="83" spans="1:62" x14ac:dyDescent="0.25">
      <c r="A83" s="28">
        <v>-455.6</v>
      </c>
      <c r="B83" s="28">
        <v>-455.6</v>
      </c>
      <c r="C83" s="28">
        <v>-455.6</v>
      </c>
      <c r="D83" s="28">
        <v>-455.6</v>
      </c>
      <c r="E83" s="28">
        <v>-455.6</v>
      </c>
      <c r="F83" s="28">
        <v>-455.6</v>
      </c>
      <c r="G83" s="28">
        <v>-455.6</v>
      </c>
      <c r="H83" s="28">
        <v>-455.6</v>
      </c>
      <c r="I83" s="28">
        <v>-455.6</v>
      </c>
      <c r="J83" s="28">
        <v>-455.6</v>
      </c>
      <c r="K83" s="28">
        <v>-455.6</v>
      </c>
      <c r="L83" s="28">
        <v>-455.6</v>
      </c>
      <c r="M83" s="28">
        <v>-455.6</v>
      </c>
      <c r="N83" s="28">
        <v>-455.6</v>
      </c>
      <c r="O83" s="28">
        <v>-455.6</v>
      </c>
      <c r="P83" s="28">
        <v>-455.6</v>
      </c>
      <c r="Q83" s="28">
        <v>-455.6</v>
      </c>
      <c r="R83" s="28">
        <v>-455.6</v>
      </c>
      <c r="S83" s="28">
        <v>-455.6</v>
      </c>
      <c r="T83" s="28">
        <v>-455.6</v>
      </c>
      <c r="U83" s="28">
        <v>-455.6</v>
      </c>
      <c r="V83" s="28">
        <v>-455.6</v>
      </c>
      <c r="W83" s="28">
        <v>-455.6</v>
      </c>
      <c r="X83" s="28">
        <v>-455.6</v>
      </c>
      <c r="Y83" s="28">
        <v>-455.6</v>
      </c>
      <c r="Z83" s="28">
        <v>-455.6</v>
      </c>
      <c r="AA83" s="28">
        <v>-455.6</v>
      </c>
      <c r="AB83" s="28">
        <v>-455.6</v>
      </c>
      <c r="AC83" s="28">
        <v>-455.6</v>
      </c>
      <c r="AD83" s="28">
        <v>-455.6</v>
      </c>
      <c r="AE83" s="28">
        <v>-455.6</v>
      </c>
      <c r="AF83" s="28">
        <v>-455.6</v>
      </c>
      <c r="AG83" s="28">
        <v>-455.6</v>
      </c>
      <c r="AH83" s="28">
        <v>-455.6</v>
      </c>
      <c r="AI83" s="28">
        <v>-455.6</v>
      </c>
      <c r="AJ83" s="28">
        <v>-455.6</v>
      </c>
      <c r="AK83" s="28">
        <v>-455.6</v>
      </c>
      <c r="AL83" s="28">
        <v>-455.6</v>
      </c>
      <c r="AM83" s="28">
        <v>-455.6</v>
      </c>
      <c r="AN83" s="28">
        <v>-455.6</v>
      </c>
      <c r="AO83" s="28">
        <v>-455.6</v>
      </c>
      <c r="AP83" s="28">
        <v>-455.6</v>
      </c>
      <c r="AQ83" s="28">
        <v>-455.6</v>
      </c>
      <c r="AR83" s="28">
        <v>-455.6</v>
      </c>
      <c r="AS83" s="28">
        <v>-455.6</v>
      </c>
      <c r="AT83" s="28">
        <v>-455.6</v>
      </c>
      <c r="AU83" s="28">
        <v>-455.6</v>
      </c>
      <c r="AV83" s="28">
        <v>-455.6</v>
      </c>
      <c r="AW83" s="28">
        <v>-455.6</v>
      </c>
      <c r="AX83" s="28">
        <v>-455.6</v>
      </c>
      <c r="AY83" s="28">
        <v>-455.6</v>
      </c>
      <c r="AZ83" s="28">
        <v>-455.6</v>
      </c>
      <c r="BA83" s="28">
        <v>-455.6</v>
      </c>
      <c r="BB83" s="28">
        <v>-455.6</v>
      </c>
      <c r="BC83" s="28">
        <v>-455.6</v>
      </c>
      <c r="BD83" s="28">
        <v>-455.6</v>
      </c>
      <c r="BE83" s="28">
        <v>-455.6</v>
      </c>
      <c r="BF83" s="28">
        <v>-455.6</v>
      </c>
      <c r="BG83" s="28">
        <v>-455.6</v>
      </c>
      <c r="BH83" s="28">
        <v>-455.6</v>
      </c>
      <c r="BI83" s="28">
        <v>-455.6</v>
      </c>
      <c r="BJ83" s="28">
        <v>-455.6</v>
      </c>
    </row>
    <row r="84" spans="1:62" x14ac:dyDescent="0.25">
      <c r="A84" s="28">
        <v>-460.07</v>
      </c>
      <c r="B84" s="28">
        <v>-460.24</v>
      </c>
      <c r="C84" s="28">
        <v>-460.23</v>
      </c>
      <c r="D84" s="28">
        <v>-459.9</v>
      </c>
      <c r="E84" s="28">
        <v>-460.6</v>
      </c>
      <c r="F84" s="28">
        <v>-460.5</v>
      </c>
      <c r="G84" s="28">
        <v>-460.8</v>
      </c>
      <c r="H84" s="28">
        <v>-460.3</v>
      </c>
      <c r="I84" s="28">
        <v>-460.6</v>
      </c>
      <c r="J84" s="28">
        <v>-460.34</v>
      </c>
      <c r="K84" s="28">
        <v>-460.43</v>
      </c>
      <c r="L84" s="28">
        <v>-460.35</v>
      </c>
      <c r="M84" s="28">
        <v>-459.59</v>
      </c>
      <c r="N84" s="28">
        <v>-460.31</v>
      </c>
      <c r="O84" s="28">
        <v>-460.31</v>
      </c>
      <c r="P84" s="28">
        <v>-460.68</v>
      </c>
      <c r="Q84" s="28">
        <v>-460.39</v>
      </c>
      <c r="R84" s="28">
        <v>-460.21</v>
      </c>
      <c r="S84" s="28">
        <v>-461.1</v>
      </c>
      <c r="T84" s="28">
        <v>-460.2</v>
      </c>
      <c r="U84" s="28">
        <v>-461.3</v>
      </c>
      <c r="V84" s="28">
        <v>-460.32</v>
      </c>
      <c r="W84" s="28">
        <v>-461.1</v>
      </c>
      <c r="X84" s="28">
        <v>-461.3</v>
      </c>
      <c r="Y84" s="28">
        <v>-460.9</v>
      </c>
      <c r="Z84" s="28">
        <v>-460.7</v>
      </c>
      <c r="AA84" s="28">
        <v>-460.99</v>
      </c>
      <c r="AB84" s="28">
        <v>-460.86</v>
      </c>
      <c r="AC84" s="28">
        <v>-461.54</v>
      </c>
      <c r="AD84" s="28">
        <v>-461.47</v>
      </c>
      <c r="AE84" s="28">
        <v>-460.91</v>
      </c>
      <c r="AF84" s="28">
        <v>-460.41</v>
      </c>
      <c r="AG84" s="28">
        <v>-461.08</v>
      </c>
      <c r="AH84" s="28">
        <v>-460.4</v>
      </c>
      <c r="AI84" s="28">
        <v>-460.6</v>
      </c>
      <c r="AJ84" s="28">
        <v>-461.37</v>
      </c>
      <c r="AK84" s="28">
        <v>-460.78</v>
      </c>
      <c r="AL84" s="28">
        <v>-460.45</v>
      </c>
      <c r="AM84" s="28">
        <v>-460.18</v>
      </c>
      <c r="AN84" s="28">
        <v>-460.57</v>
      </c>
      <c r="AO84" s="28">
        <v>-460.49</v>
      </c>
      <c r="AP84" s="28">
        <v>-461.04</v>
      </c>
      <c r="AQ84" s="28">
        <v>-460.83</v>
      </c>
      <c r="AR84" s="28">
        <v>-461.23</v>
      </c>
      <c r="AS84" s="28">
        <v>-460.79</v>
      </c>
      <c r="AT84" s="28">
        <v>-460.74</v>
      </c>
      <c r="AU84" s="28">
        <v>-460.48</v>
      </c>
      <c r="AV84" s="28">
        <v>-460.42</v>
      </c>
      <c r="AW84" s="28">
        <v>-460.98</v>
      </c>
      <c r="AX84" s="28">
        <v>-460.87</v>
      </c>
      <c r="AY84" s="28">
        <v>-460.29</v>
      </c>
      <c r="AZ84" s="28">
        <v>-460.65</v>
      </c>
      <c r="BA84" s="28">
        <v>-461.27</v>
      </c>
      <c r="BB84" s="28">
        <v>-461.05</v>
      </c>
      <c r="BC84" s="28">
        <v>-460.5</v>
      </c>
      <c r="BD84" s="28">
        <v>-461.35</v>
      </c>
      <c r="BE84" s="28">
        <v>-460.79</v>
      </c>
      <c r="BF84" s="28">
        <v>-461.13</v>
      </c>
      <c r="BG84" s="28">
        <v>-461.22</v>
      </c>
      <c r="BH84" s="28">
        <v>-462.02</v>
      </c>
      <c r="BI84" s="28">
        <v>-460.89</v>
      </c>
      <c r="BJ84" s="28">
        <v>-460.66</v>
      </c>
    </row>
    <row r="85" spans="1:62" x14ac:dyDescent="0.25">
      <c r="A85" s="28" t="s">
        <v>30</v>
      </c>
      <c r="B85" s="28" t="s">
        <v>31</v>
      </c>
      <c r="C85" s="28" t="s">
        <v>54</v>
      </c>
      <c r="D85" s="28" t="s">
        <v>55</v>
      </c>
      <c r="E85" s="28" t="s">
        <v>58</v>
      </c>
      <c r="F85" s="28" t="s">
        <v>59</v>
      </c>
      <c r="G85" s="28" t="s">
        <v>23</v>
      </c>
      <c r="H85" s="28">
        <v>62</v>
      </c>
    </row>
    <row r="86" spans="1:62" x14ac:dyDescent="0.25">
      <c r="A86" s="5">
        <v>46169</v>
      </c>
      <c r="B86" s="5">
        <v>46169</v>
      </c>
      <c r="C86" s="5">
        <v>46169</v>
      </c>
      <c r="D86" s="5">
        <v>46169</v>
      </c>
      <c r="E86" s="5">
        <v>46170</v>
      </c>
      <c r="F86" s="5">
        <v>46170</v>
      </c>
      <c r="G86" s="5">
        <v>46171</v>
      </c>
      <c r="H86" s="5">
        <v>46171</v>
      </c>
      <c r="I86" s="5">
        <v>46171</v>
      </c>
      <c r="J86" s="5">
        <v>46171</v>
      </c>
      <c r="K86" s="5">
        <v>46172</v>
      </c>
      <c r="L86" s="5">
        <v>46172</v>
      </c>
      <c r="M86" s="5">
        <v>46172</v>
      </c>
      <c r="N86" s="5">
        <v>46174</v>
      </c>
      <c r="O86" s="5">
        <v>46174</v>
      </c>
      <c r="P86" s="5">
        <v>46174</v>
      </c>
      <c r="Q86" s="5">
        <v>46174</v>
      </c>
      <c r="R86" s="5">
        <v>46175</v>
      </c>
      <c r="S86" s="5">
        <v>46175</v>
      </c>
      <c r="T86" s="5">
        <v>46175</v>
      </c>
      <c r="U86" s="5">
        <v>46176</v>
      </c>
      <c r="V86" s="5">
        <v>46176</v>
      </c>
      <c r="W86" s="5">
        <v>46176</v>
      </c>
      <c r="X86" s="5">
        <v>46176</v>
      </c>
      <c r="Y86" s="5">
        <v>46176</v>
      </c>
      <c r="Z86" s="5">
        <v>46176</v>
      </c>
      <c r="AA86" s="5">
        <v>46176</v>
      </c>
      <c r="AB86" s="5">
        <v>46177</v>
      </c>
      <c r="AC86" s="5">
        <v>46178</v>
      </c>
      <c r="AD86" s="5">
        <v>46178</v>
      </c>
      <c r="AE86" s="5">
        <v>46178</v>
      </c>
      <c r="AF86" s="5">
        <v>46179</v>
      </c>
      <c r="AG86" s="5">
        <v>46180</v>
      </c>
      <c r="AH86" s="5">
        <v>46180</v>
      </c>
      <c r="AI86" s="5">
        <v>46180</v>
      </c>
      <c r="AJ86" s="5">
        <v>46180</v>
      </c>
      <c r="AK86" s="5">
        <v>46181</v>
      </c>
      <c r="AL86" s="5">
        <v>46181</v>
      </c>
      <c r="AM86" s="5">
        <v>46181</v>
      </c>
      <c r="AN86" s="5">
        <v>46181</v>
      </c>
      <c r="AO86" s="5">
        <v>46181</v>
      </c>
      <c r="AP86" s="5">
        <v>46182</v>
      </c>
      <c r="AQ86" s="5">
        <v>46182</v>
      </c>
      <c r="AR86" s="5">
        <v>46182</v>
      </c>
      <c r="AS86" s="5">
        <v>46182</v>
      </c>
      <c r="AT86" s="5">
        <v>46182</v>
      </c>
      <c r="AU86" s="5">
        <v>46183</v>
      </c>
      <c r="AV86" s="5">
        <v>46183</v>
      </c>
      <c r="AW86" s="5">
        <v>46183</v>
      </c>
      <c r="AX86" s="5">
        <v>46183</v>
      </c>
      <c r="AY86" s="5">
        <v>46183</v>
      </c>
      <c r="AZ86" s="5">
        <v>46184</v>
      </c>
      <c r="BA86" s="5">
        <v>46184</v>
      </c>
      <c r="BB86" s="5">
        <v>46184</v>
      </c>
      <c r="BC86" s="5">
        <v>46184</v>
      </c>
      <c r="BD86" s="5">
        <v>46184</v>
      </c>
      <c r="BE86" s="5">
        <v>46185</v>
      </c>
      <c r="BF86" s="5">
        <v>46185</v>
      </c>
      <c r="BG86" s="5">
        <v>46185</v>
      </c>
      <c r="BH86" s="5">
        <v>46185</v>
      </c>
      <c r="BI86" s="5">
        <v>46186</v>
      </c>
      <c r="BJ86" s="5">
        <v>46186</v>
      </c>
    </row>
    <row r="87" spans="1:62" x14ac:dyDescent="0.25">
      <c r="A87" s="28">
        <v>816948</v>
      </c>
      <c r="B87" s="28">
        <v>816987</v>
      </c>
      <c r="C87" s="28">
        <v>816998</v>
      </c>
      <c r="D87" s="28">
        <v>817092</v>
      </c>
      <c r="E87" s="28">
        <v>817353</v>
      </c>
      <c r="F87" s="28">
        <v>817441</v>
      </c>
      <c r="G87" s="28">
        <v>817773</v>
      </c>
      <c r="H87" s="28">
        <v>817861</v>
      </c>
      <c r="I87" s="28">
        <v>817943</v>
      </c>
      <c r="J87" s="28">
        <v>817985</v>
      </c>
      <c r="K87" s="28">
        <v>818214</v>
      </c>
      <c r="L87" s="28">
        <v>818254</v>
      </c>
      <c r="M87" s="28">
        <v>818291</v>
      </c>
      <c r="N87" s="28">
        <v>818439</v>
      </c>
      <c r="O87" s="28">
        <v>818580</v>
      </c>
      <c r="P87" s="28">
        <v>818627</v>
      </c>
      <c r="Q87" s="28">
        <v>818667</v>
      </c>
      <c r="R87" s="28">
        <v>818839</v>
      </c>
      <c r="S87" s="28">
        <v>818934</v>
      </c>
      <c r="T87" s="28">
        <v>819019</v>
      </c>
      <c r="U87" s="28">
        <v>819103</v>
      </c>
      <c r="V87" s="28">
        <v>819271</v>
      </c>
      <c r="W87" s="28">
        <v>819315</v>
      </c>
      <c r="X87" s="28">
        <v>819370</v>
      </c>
      <c r="Y87" s="28">
        <v>819445</v>
      </c>
      <c r="Z87" s="28">
        <v>819491</v>
      </c>
      <c r="AA87" s="28">
        <v>819533</v>
      </c>
      <c r="AB87" s="28">
        <v>819706</v>
      </c>
      <c r="AC87" s="28">
        <v>819995</v>
      </c>
      <c r="AD87" s="28">
        <v>820041</v>
      </c>
      <c r="AE87" s="28">
        <v>820088</v>
      </c>
      <c r="AF87" s="28">
        <v>820271</v>
      </c>
      <c r="AG87" s="28">
        <v>820495</v>
      </c>
      <c r="AH87" s="28">
        <v>820568</v>
      </c>
      <c r="AI87" s="28">
        <v>820630</v>
      </c>
      <c r="AJ87" s="28">
        <v>820670</v>
      </c>
      <c r="AK87" s="28">
        <v>820873</v>
      </c>
      <c r="AL87" s="28">
        <v>820921</v>
      </c>
      <c r="AM87" s="28">
        <v>820957</v>
      </c>
      <c r="AN87" s="28">
        <v>821024</v>
      </c>
      <c r="AO87" s="28">
        <v>821060</v>
      </c>
      <c r="AP87" s="28">
        <v>821288</v>
      </c>
      <c r="AQ87" s="28">
        <v>821319</v>
      </c>
      <c r="AR87" s="28">
        <v>821356</v>
      </c>
      <c r="AS87" s="28">
        <v>821451</v>
      </c>
      <c r="AT87" s="28">
        <v>821500</v>
      </c>
      <c r="AU87" s="28">
        <v>821710</v>
      </c>
      <c r="AV87" s="28">
        <v>821754</v>
      </c>
      <c r="AW87" s="28">
        <v>821805</v>
      </c>
      <c r="AX87" s="28">
        <v>821885</v>
      </c>
      <c r="AY87" s="28">
        <v>821931</v>
      </c>
      <c r="AZ87" s="28">
        <v>822143</v>
      </c>
      <c r="BA87" s="28">
        <v>822185</v>
      </c>
      <c r="BB87" s="28">
        <v>822236</v>
      </c>
      <c r="BC87" s="28">
        <v>822306</v>
      </c>
      <c r="BD87" s="28">
        <v>822352</v>
      </c>
      <c r="BE87" s="28">
        <v>822558</v>
      </c>
      <c r="BF87" s="28">
        <v>822647</v>
      </c>
      <c r="BG87" s="28">
        <v>822737</v>
      </c>
      <c r="BH87" s="28">
        <v>822777</v>
      </c>
      <c r="BI87" s="28">
        <v>823003</v>
      </c>
      <c r="BJ87" s="28">
        <v>823082</v>
      </c>
    </row>
    <row r="88" spans="1:62" x14ac:dyDescent="0.25">
      <c r="A88" s="28">
        <v>1071.4000000000001</v>
      </c>
      <c r="B88" s="28">
        <v>1071.4000000000001</v>
      </c>
      <c r="C88" s="28">
        <v>1071.4000000000001</v>
      </c>
      <c r="D88" s="28">
        <v>1071.4000000000001</v>
      </c>
      <c r="E88" s="28">
        <v>1071.4000000000001</v>
      </c>
      <c r="F88" s="28">
        <v>1071.4000000000001</v>
      </c>
      <c r="G88" s="28">
        <v>1071.4000000000001</v>
      </c>
      <c r="H88" s="28">
        <v>1071.4000000000001</v>
      </c>
      <c r="I88" s="28">
        <v>1071.4000000000001</v>
      </c>
      <c r="J88" s="28">
        <v>1071.4000000000001</v>
      </c>
      <c r="K88" s="28">
        <v>1071.4000000000001</v>
      </c>
      <c r="L88" s="28">
        <v>1071.4000000000001</v>
      </c>
      <c r="M88" s="28">
        <v>1071.4000000000001</v>
      </c>
      <c r="N88" s="28">
        <v>1071.4000000000001</v>
      </c>
      <c r="O88" s="28">
        <v>1071.4000000000001</v>
      </c>
      <c r="P88" s="28">
        <v>1071.4000000000001</v>
      </c>
      <c r="Q88" s="28">
        <v>1071.4000000000001</v>
      </c>
      <c r="R88" s="28">
        <v>1071.4000000000001</v>
      </c>
      <c r="S88" s="28">
        <v>1071.4000000000001</v>
      </c>
      <c r="T88" s="28">
        <v>1071.4000000000001</v>
      </c>
      <c r="U88" s="28">
        <v>1071.4000000000001</v>
      </c>
      <c r="V88" s="28">
        <v>1071.4000000000001</v>
      </c>
      <c r="W88" s="28">
        <v>1071.4000000000001</v>
      </c>
      <c r="X88" s="28">
        <v>1071.4000000000001</v>
      </c>
      <c r="Y88" s="28">
        <v>1071.4000000000001</v>
      </c>
      <c r="Z88" s="28">
        <v>1071.4000000000001</v>
      </c>
      <c r="AA88" s="28">
        <v>1071.4000000000001</v>
      </c>
      <c r="AB88" s="28">
        <v>1071.4000000000001</v>
      </c>
      <c r="AC88" s="28">
        <v>1071.4000000000001</v>
      </c>
      <c r="AD88" s="28">
        <v>1071.4000000000001</v>
      </c>
      <c r="AE88" s="28">
        <v>1071.4000000000001</v>
      </c>
      <c r="AF88" s="28">
        <v>1071.4000000000001</v>
      </c>
      <c r="AG88" s="28">
        <v>1071.4000000000001</v>
      </c>
      <c r="AH88" s="28">
        <v>1071.4000000000001</v>
      </c>
      <c r="AI88" s="28">
        <v>1071.4000000000001</v>
      </c>
      <c r="AJ88" s="28">
        <v>1071.4000000000001</v>
      </c>
      <c r="AK88" s="28">
        <v>1071.4000000000001</v>
      </c>
      <c r="AL88" s="28">
        <v>1071.4000000000001</v>
      </c>
      <c r="AM88" s="28">
        <v>1071.4000000000001</v>
      </c>
      <c r="AN88" s="28">
        <v>1071.4000000000001</v>
      </c>
      <c r="AO88" s="28">
        <v>1071.4000000000001</v>
      </c>
      <c r="AP88" s="28">
        <v>1071.4000000000001</v>
      </c>
      <c r="AQ88" s="28">
        <v>1071.4000000000001</v>
      </c>
      <c r="AR88" s="28">
        <v>1071.4000000000001</v>
      </c>
      <c r="AS88" s="28">
        <v>1071.4000000000001</v>
      </c>
      <c r="AT88" s="28">
        <v>1071.4000000000001</v>
      </c>
      <c r="AU88" s="28">
        <v>1071.4000000000001</v>
      </c>
      <c r="AV88" s="28">
        <v>1071.4000000000001</v>
      </c>
      <c r="AW88" s="28">
        <v>1071.4000000000001</v>
      </c>
      <c r="AX88" s="28">
        <v>1071.4000000000001</v>
      </c>
      <c r="AY88" s="28">
        <v>1071.4000000000001</v>
      </c>
      <c r="AZ88" s="28">
        <v>1071.4000000000001</v>
      </c>
      <c r="BA88" s="28">
        <v>1071.4000000000001</v>
      </c>
      <c r="BB88" s="28">
        <v>1071.4000000000001</v>
      </c>
      <c r="BC88" s="28">
        <v>1071.4000000000001</v>
      </c>
      <c r="BD88" s="28">
        <v>1071.4000000000001</v>
      </c>
      <c r="BE88" s="28">
        <v>1071.4000000000001</v>
      </c>
      <c r="BF88" s="28">
        <v>1071.4000000000001</v>
      </c>
      <c r="BG88" s="28">
        <v>1071.4000000000001</v>
      </c>
      <c r="BH88" s="28">
        <v>1071.4000000000001</v>
      </c>
      <c r="BI88" s="28">
        <v>1071.4000000000001</v>
      </c>
      <c r="BJ88" s="28">
        <v>1071.4000000000001</v>
      </c>
    </row>
    <row r="89" spans="1:62" x14ac:dyDescent="0.25">
      <c r="A89" s="28">
        <v>1067.4000000000001</v>
      </c>
      <c r="B89" s="28">
        <v>1067.4000000000001</v>
      </c>
      <c r="C89" s="28">
        <v>1067.4000000000001</v>
      </c>
      <c r="D89" s="28">
        <v>1067.4000000000001</v>
      </c>
      <c r="E89" s="28">
        <v>1067.4000000000001</v>
      </c>
      <c r="F89" s="28">
        <v>1067.4000000000001</v>
      </c>
      <c r="G89" s="28">
        <v>1067.4000000000001</v>
      </c>
      <c r="H89" s="28">
        <v>1067.4000000000001</v>
      </c>
      <c r="I89" s="28">
        <v>1067.4000000000001</v>
      </c>
      <c r="J89" s="28">
        <v>1067.4000000000001</v>
      </c>
      <c r="K89" s="28">
        <v>1067.4000000000001</v>
      </c>
      <c r="L89" s="28">
        <v>1067.4000000000001</v>
      </c>
      <c r="M89" s="28">
        <v>1067.4000000000001</v>
      </c>
      <c r="N89" s="28">
        <v>1067.4000000000001</v>
      </c>
      <c r="O89" s="28">
        <v>1067.4000000000001</v>
      </c>
      <c r="P89" s="28">
        <v>1067.4000000000001</v>
      </c>
      <c r="Q89" s="28">
        <v>1067.4000000000001</v>
      </c>
      <c r="R89" s="28">
        <v>1067.4000000000001</v>
      </c>
      <c r="S89" s="28">
        <v>1067.4000000000001</v>
      </c>
      <c r="T89" s="28">
        <v>1067.4000000000001</v>
      </c>
      <c r="U89" s="28">
        <v>1067.4000000000001</v>
      </c>
      <c r="V89" s="28">
        <v>1067.4000000000001</v>
      </c>
      <c r="W89" s="28">
        <v>1067.4000000000001</v>
      </c>
      <c r="X89" s="28">
        <v>1067.4000000000001</v>
      </c>
      <c r="Y89" s="28">
        <v>1067.4000000000001</v>
      </c>
      <c r="Z89" s="28">
        <v>1067.4000000000001</v>
      </c>
      <c r="AA89" s="28">
        <v>1067.4000000000001</v>
      </c>
      <c r="AB89" s="28">
        <v>1067.4000000000001</v>
      </c>
      <c r="AC89" s="28">
        <v>1067.4000000000001</v>
      </c>
      <c r="AD89" s="28">
        <v>1067.4000000000001</v>
      </c>
      <c r="AE89" s="28">
        <v>1067.4000000000001</v>
      </c>
      <c r="AF89" s="28">
        <v>1067.4000000000001</v>
      </c>
      <c r="AG89" s="28">
        <v>1067.4000000000001</v>
      </c>
      <c r="AH89" s="28">
        <v>1067.4000000000001</v>
      </c>
      <c r="AI89" s="28">
        <v>1067.4000000000001</v>
      </c>
      <c r="AJ89" s="28">
        <v>1067.4000000000001</v>
      </c>
      <c r="AK89" s="28">
        <v>1067.4000000000001</v>
      </c>
      <c r="AL89" s="28">
        <v>1067.4000000000001</v>
      </c>
      <c r="AM89" s="28">
        <v>1067.4000000000001</v>
      </c>
      <c r="AN89" s="28">
        <v>1067.4000000000001</v>
      </c>
      <c r="AO89" s="28">
        <v>1067.4000000000001</v>
      </c>
      <c r="AP89" s="28">
        <v>1067.4000000000001</v>
      </c>
      <c r="AQ89" s="28">
        <v>1067.4000000000001</v>
      </c>
      <c r="AR89" s="28">
        <v>1067.4000000000001</v>
      </c>
      <c r="AS89" s="28">
        <v>1067.4000000000001</v>
      </c>
      <c r="AT89" s="28">
        <v>1067.4000000000001</v>
      </c>
      <c r="AU89" s="28">
        <v>1067.4000000000001</v>
      </c>
      <c r="AV89" s="28">
        <v>1067.4000000000001</v>
      </c>
      <c r="AW89" s="28">
        <v>1067.4000000000001</v>
      </c>
      <c r="AX89" s="28">
        <v>1067.4000000000001</v>
      </c>
      <c r="AY89" s="28">
        <v>1067.4000000000001</v>
      </c>
      <c r="AZ89" s="28">
        <v>1067.4000000000001</v>
      </c>
      <c r="BA89" s="28">
        <v>1067.4000000000001</v>
      </c>
      <c r="BB89" s="28">
        <v>1067.4000000000001</v>
      </c>
      <c r="BC89" s="28">
        <v>1067.4000000000001</v>
      </c>
      <c r="BD89" s="28">
        <v>1067.4000000000001</v>
      </c>
      <c r="BE89" s="28">
        <v>1067.4000000000001</v>
      </c>
      <c r="BF89" s="28">
        <v>1067.4000000000001</v>
      </c>
      <c r="BG89" s="28">
        <v>1067.4000000000001</v>
      </c>
      <c r="BH89" s="28">
        <v>1067.4000000000001</v>
      </c>
      <c r="BI89" s="28">
        <v>1067.4000000000001</v>
      </c>
      <c r="BJ89" s="28">
        <v>1067.4000000000001</v>
      </c>
    </row>
    <row r="90" spans="1:62" x14ac:dyDescent="0.25">
      <c r="A90" s="28">
        <v>1075.4000000000001</v>
      </c>
      <c r="B90" s="28">
        <v>1075.4000000000001</v>
      </c>
      <c r="C90" s="28">
        <v>1075.4000000000001</v>
      </c>
      <c r="D90" s="28">
        <v>1075.4000000000001</v>
      </c>
      <c r="E90" s="28">
        <v>1075.4000000000001</v>
      </c>
      <c r="F90" s="28">
        <v>1075.4000000000001</v>
      </c>
      <c r="G90" s="28">
        <v>1075.4000000000001</v>
      </c>
      <c r="H90" s="28">
        <v>1075.4000000000001</v>
      </c>
      <c r="I90" s="28">
        <v>1075.4000000000001</v>
      </c>
      <c r="J90" s="28">
        <v>1075.4000000000001</v>
      </c>
      <c r="K90" s="28">
        <v>1075.4000000000001</v>
      </c>
      <c r="L90" s="28">
        <v>1075.4000000000001</v>
      </c>
      <c r="M90" s="28">
        <v>1075.4000000000001</v>
      </c>
      <c r="N90" s="28">
        <v>1075.4000000000001</v>
      </c>
      <c r="O90" s="28">
        <v>1075.4000000000001</v>
      </c>
      <c r="P90" s="28">
        <v>1075.4000000000001</v>
      </c>
      <c r="Q90" s="28">
        <v>1075.4000000000001</v>
      </c>
      <c r="R90" s="28">
        <v>1075.4000000000001</v>
      </c>
      <c r="S90" s="28">
        <v>1075.4000000000001</v>
      </c>
      <c r="T90" s="28">
        <v>1075.4000000000001</v>
      </c>
      <c r="U90" s="28">
        <v>1075.4000000000001</v>
      </c>
      <c r="V90" s="28">
        <v>1075.4000000000001</v>
      </c>
      <c r="W90" s="28">
        <v>1075.4000000000001</v>
      </c>
      <c r="X90" s="28">
        <v>1075.4000000000001</v>
      </c>
      <c r="Y90" s="28">
        <v>1075.4000000000001</v>
      </c>
      <c r="Z90" s="28">
        <v>1075.4000000000001</v>
      </c>
      <c r="AA90" s="28">
        <v>1075.4000000000001</v>
      </c>
      <c r="AB90" s="28">
        <v>1075.4000000000001</v>
      </c>
      <c r="AC90" s="28">
        <v>1075.4000000000001</v>
      </c>
      <c r="AD90" s="28">
        <v>1075.4000000000001</v>
      </c>
      <c r="AE90" s="28">
        <v>1075.4000000000001</v>
      </c>
      <c r="AF90" s="28">
        <v>1075.4000000000001</v>
      </c>
      <c r="AG90" s="28">
        <v>1075.4000000000001</v>
      </c>
      <c r="AH90" s="28">
        <v>1075.4000000000001</v>
      </c>
      <c r="AI90" s="28">
        <v>1075.4000000000001</v>
      </c>
      <c r="AJ90" s="28">
        <v>1075.4000000000001</v>
      </c>
      <c r="AK90" s="28">
        <v>1075.4000000000001</v>
      </c>
      <c r="AL90" s="28">
        <v>1075.4000000000001</v>
      </c>
      <c r="AM90" s="28">
        <v>1075.4000000000001</v>
      </c>
      <c r="AN90" s="28">
        <v>1075.4000000000001</v>
      </c>
      <c r="AO90" s="28">
        <v>1075.4000000000001</v>
      </c>
      <c r="AP90" s="28">
        <v>1075.4000000000001</v>
      </c>
      <c r="AQ90" s="28">
        <v>1075.4000000000001</v>
      </c>
      <c r="AR90" s="28">
        <v>1075.4000000000001</v>
      </c>
      <c r="AS90" s="28">
        <v>1075.4000000000001</v>
      </c>
      <c r="AT90" s="28">
        <v>1075.4000000000001</v>
      </c>
      <c r="AU90" s="28">
        <v>1075.4000000000001</v>
      </c>
      <c r="AV90" s="28">
        <v>1075.4000000000001</v>
      </c>
      <c r="AW90" s="28">
        <v>1075.4000000000001</v>
      </c>
      <c r="AX90" s="28">
        <v>1075.4000000000001</v>
      </c>
      <c r="AY90" s="28">
        <v>1075.4000000000001</v>
      </c>
      <c r="AZ90" s="28">
        <v>1075.4000000000001</v>
      </c>
      <c r="BA90" s="28">
        <v>1075.4000000000001</v>
      </c>
      <c r="BB90" s="28">
        <v>1075.4000000000001</v>
      </c>
      <c r="BC90" s="28">
        <v>1075.4000000000001</v>
      </c>
      <c r="BD90" s="28">
        <v>1075.4000000000001</v>
      </c>
      <c r="BE90" s="28">
        <v>1075.4000000000001</v>
      </c>
      <c r="BF90" s="28">
        <v>1075.4000000000001</v>
      </c>
      <c r="BG90" s="28">
        <v>1075.4000000000001</v>
      </c>
      <c r="BH90" s="28">
        <v>1075.4000000000001</v>
      </c>
      <c r="BI90" s="28">
        <v>1075.4000000000001</v>
      </c>
      <c r="BJ90" s="28">
        <v>1075.4000000000001</v>
      </c>
    </row>
    <row r="91" spans="1:62" x14ac:dyDescent="0.25">
      <c r="A91" s="28">
        <v>1069.3499999999999</v>
      </c>
      <c r="B91" s="28">
        <v>1068.97</v>
      </c>
      <c r="C91" s="28">
        <v>1069.06</v>
      </c>
      <c r="D91" s="28">
        <v>1069.3</v>
      </c>
      <c r="E91" s="28">
        <v>1068.8</v>
      </c>
      <c r="F91" s="28">
        <v>1069</v>
      </c>
      <c r="G91" s="28">
        <v>1068.9000000000001</v>
      </c>
      <c r="H91" s="28">
        <v>1069.4000000000001</v>
      </c>
      <c r="I91" s="28">
        <v>1068.9000000000001</v>
      </c>
      <c r="J91" s="28">
        <v>1069.1199999999999</v>
      </c>
      <c r="K91" s="28">
        <v>1068.95</v>
      </c>
      <c r="L91" s="28">
        <v>1069.06</v>
      </c>
      <c r="M91" s="28">
        <v>1069.3499999999999</v>
      </c>
      <c r="N91" s="28">
        <v>1069.3800000000001</v>
      </c>
      <c r="O91" s="28">
        <v>1069.21</v>
      </c>
      <c r="P91" s="28">
        <v>1069.2</v>
      </c>
      <c r="Q91" s="28">
        <v>1069.29</v>
      </c>
      <c r="R91" s="28">
        <v>1069.52</v>
      </c>
      <c r="S91" s="28">
        <v>1068.9000000000001</v>
      </c>
      <c r="T91" s="28">
        <v>1069.2</v>
      </c>
      <c r="U91" s="28">
        <v>1069.2</v>
      </c>
      <c r="V91" s="28">
        <v>1069.19</v>
      </c>
      <c r="W91" s="28">
        <v>1069</v>
      </c>
      <c r="X91" s="28">
        <v>1069.4000000000001</v>
      </c>
      <c r="Y91" s="28">
        <v>1069.0999999999999</v>
      </c>
      <c r="Z91" s="28">
        <v>1069</v>
      </c>
      <c r="AA91" s="28">
        <v>1069.2</v>
      </c>
      <c r="AB91" s="28">
        <v>1068.99</v>
      </c>
      <c r="AC91" s="28">
        <v>1069.02</v>
      </c>
      <c r="AD91" s="28">
        <v>1069.02</v>
      </c>
      <c r="AE91" s="28">
        <v>1068.99</v>
      </c>
      <c r="AF91" s="28">
        <v>1069.6500000000001</v>
      </c>
      <c r="AG91" s="28">
        <v>1068.6500000000001</v>
      </c>
      <c r="AH91" s="28">
        <v>1069.3499999999999</v>
      </c>
      <c r="AI91" s="28">
        <v>1069.4000000000001</v>
      </c>
      <c r="AJ91" s="28">
        <v>1069</v>
      </c>
      <c r="AK91" s="28">
        <v>1069.28</v>
      </c>
      <c r="AL91" s="28">
        <v>1068.71</v>
      </c>
      <c r="AM91" s="28">
        <v>1068.79</v>
      </c>
      <c r="AN91" s="28">
        <v>1069.1400000000001</v>
      </c>
      <c r="AO91" s="28">
        <v>1069.05</v>
      </c>
      <c r="AP91" s="28">
        <v>1069.01</v>
      </c>
      <c r="AQ91" s="28">
        <v>1068.95</v>
      </c>
      <c r="AR91" s="28">
        <v>1069.0999999999999</v>
      </c>
      <c r="AS91" s="28">
        <v>1068.93</v>
      </c>
      <c r="AT91" s="28">
        <v>1069.31</v>
      </c>
      <c r="AU91" s="28">
        <v>1069.01</v>
      </c>
      <c r="AV91" s="28">
        <v>1069.04</v>
      </c>
      <c r="AW91" s="28">
        <v>1069.06</v>
      </c>
      <c r="AX91" s="28">
        <v>1068.98</v>
      </c>
      <c r="AY91" s="28">
        <v>1069.26</v>
      </c>
      <c r="AZ91" s="28">
        <v>1069.21</v>
      </c>
      <c r="BA91" s="28">
        <v>1068.44</v>
      </c>
      <c r="BB91" s="28">
        <v>1068.9100000000001</v>
      </c>
      <c r="BC91" s="28">
        <v>1069.0999999999999</v>
      </c>
      <c r="BD91" s="28">
        <v>1068.9000000000001</v>
      </c>
      <c r="BE91" s="28">
        <v>1069.19</v>
      </c>
      <c r="BF91" s="28">
        <v>1068.96</v>
      </c>
      <c r="BG91" s="28">
        <v>1069</v>
      </c>
      <c r="BH91" s="28">
        <v>1068.72</v>
      </c>
      <c r="BI91" s="28">
        <v>1068.6099999999999</v>
      </c>
      <c r="BJ91" s="28">
        <v>1069.0899999999999</v>
      </c>
    </row>
    <row r="92" spans="1:62" x14ac:dyDescent="0.25">
      <c r="A92" s="28" t="s">
        <v>30</v>
      </c>
      <c r="B92" s="28" t="s">
        <v>31</v>
      </c>
      <c r="C92" s="28" t="s">
        <v>54</v>
      </c>
      <c r="D92" s="28" t="s">
        <v>55</v>
      </c>
      <c r="E92" s="28" t="s">
        <v>60</v>
      </c>
      <c r="F92" s="28" t="s">
        <v>61</v>
      </c>
      <c r="G92" s="28" t="s">
        <v>24</v>
      </c>
      <c r="H92" s="28">
        <v>62</v>
      </c>
    </row>
    <row r="93" spans="1:62" x14ac:dyDescent="0.25">
      <c r="A93" s="5">
        <v>46169</v>
      </c>
      <c r="B93" s="5">
        <v>46169</v>
      </c>
      <c r="C93" s="5">
        <v>46169</v>
      </c>
      <c r="D93" s="5">
        <v>46169</v>
      </c>
      <c r="E93" s="5">
        <v>46170</v>
      </c>
      <c r="F93" s="5">
        <v>46170</v>
      </c>
      <c r="G93" s="5">
        <v>46171</v>
      </c>
      <c r="H93" s="5">
        <v>46171</v>
      </c>
      <c r="I93" s="5">
        <v>46171</v>
      </c>
      <c r="J93" s="5">
        <v>46171</v>
      </c>
      <c r="K93" s="5">
        <v>46172</v>
      </c>
      <c r="L93" s="5">
        <v>46172</v>
      </c>
      <c r="M93" s="5">
        <v>46172</v>
      </c>
      <c r="N93" s="5">
        <v>46174</v>
      </c>
      <c r="O93" s="5">
        <v>46174</v>
      </c>
      <c r="P93" s="5">
        <v>46174</v>
      </c>
      <c r="Q93" s="5">
        <v>46174</v>
      </c>
      <c r="R93" s="5">
        <v>46175</v>
      </c>
      <c r="S93" s="5">
        <v>46175</v>
      </c>
      <c r="T93" s="5">
        <v>46175</v>
      </c>
      <c r="U93" s="5">
        <v>46176</v>
      </c>
      <c r="V93" s="5">
        <v>46176</v>
      </c>
      <c r="W93" s="5">
        <v>46176</v>
      </c>
      <c r="X93" s="5">
        <v>46176</v>
      </c>
      <c r="Y93" s="5">
        <v>46176</v>
      </c>
      <c r="Z93" s="5">
        <v>46176</v>
      </c>
      <c r="AA93" s="5">
        <v>46176</v>
      </c>
      <c r="AB93" s="5">
        <v>46177</v>
      </c>
      <c r="AC93" s="5">
        <v>46178</v>
      </c>
      <c r="AD93" s="5">
        <v>46178</v>
      </c>
      <c r="AE93" s="5">
        <v>46178</v>
      </c>
      <c r="AF93" s="5">
        <v>46179</v>
      </c>
      <c r="AG93" s="5">
        <v>46180</v>
      </c>
      <c r="AH93" s="5">
        <v>46180</v>
      </c>
      <c r="AI93" s="5">
        <v>46180</v>
      </c>
      <c r="AJ93" s="5">
        <v>46180</v>
      </c>
      <c r="AK93" s="5">
        <v>46181</v>
      </c>
      <c r="AL93" s="5">
        <v>46181</v>
      </c>
      <c r="AM93" s="5">
        <v>46181</v>
      </c>
      <c r="AN93" s="5">
        <v>46181</v>
      </c>
      <c r="AO93" s="5">
        <v>46181</v>
      </c>
      <c r="AP93" s="5">
        <v>46182</v>
      </c>
      <c r="AQ93" s="5">
        <v>46182</v>
      </c>
      <c r="AR93" s="5">
        <v>46182</v>
      </c>
      <c r="AS93" s="5">
        <v>46182</v>
      </c>
      <c r="AT93" s="5">
        <v>46182</v>
      </c>
      <c r="AU93" s="5">
        <v>46183</v>
      </c>
      <c r="AV93" s="5">
        <v>46183</v>
      </c>
      <c r="AW93" s="5">
        <v>46183</v>
      </c>
      <c r="AX93" s="5">
        <v>46183</v>
      </c>
      <c r="AY93" s="5">
        <v>46183</v>
      </c>
      <c r="AZ93" s="5">
        <v>46184</v>
      </c>
      <c r="BA93" s="5">
        <v>46184</v>
      </c>
      <c r="BB93" s="5">
        <v>46184</v>
      </c>
      <c r="BC93" s="5">
        <v>46184</v>
      </c>
      <c r="BD93" s="5">
        <v>46184</v>
      </c>
      <c r="BE93" s="5">
        <v>46185</v>
      </c>
      <c r="BF93" s="5">
        <v>46185</v>
      </c>
      <c r="BG93" s="5">
        <v>46185</v>
      </c>
      <c r="BH93" s="5">
        <v>46185</v>
      </c>
      <c r="BI93" s="5">
        <v>46186</v>
      </c>
      <c r="BJ93" s="5">
        <v>46186</v>
      </c>
    </row>
    <row r="94" spans="1:62" x14ac:dyDescent="0.25">
      <c r="A94" s="28">
        <v>816948</v>
      </c>
      <c r="B94" s="28">
        <v>816987</v>
      </c>
      <c r="C94" s="28">
        <v>816998</v>
      </c>
      <c r="D94" s="28">
        <v>817092</v>
      </c>
      <c r="E94" s="28">
        <v>817353</v>
      </c>
      <c r="F94" s="28">
        <v>817441</v>
      </c>
      <c r="G94" s="28">
        <v>817773</v>
      </c>
      <c r="H94" s="28">
        <v>817861</v>
      </c>
      <c r="I94" s="28">
        <v>817943</v>
      </c>
      <c r="J94" s="28">
        <v>817985</v>
      </c>
      <c r="K94" s="28">
        <v>818214</v>
      </c>
      <c r="L94" s="28">
        <v>818254</v>
      </c>
      <c r="M94" s="28">
        <v>818291</v>
      </c>
      <c r="N94" s="28">
        <v>818439</v>
      </c>
      <c r="O94" s="28">
        <v>818580</v>
      </c>
      <c r="P94" s="28">
        <v>818627</v>
      </c>
      <c r="Q94" s="28">
        <v>818667</v>
      </c>
      <c r="R94" s="28">
        <v>818839</v>
      </c>
      <c r="S94" s="28">
        <v>818934</v>
      </c>
      <c r="T94" s="28">
        <v>819019</v>
      </c>
      <c r="U94" s="28">
        <v>819103</v>
      </c>
      <c r="V94" s="28">
        <v>819271</v>
      </c>
      <c r="W94" s="28">
        <v>819315</v>
      </c>
      <c r="X94" s="28">
        <v>819370</v>
      </c>
      <c r="Y94" s="28">
        <v>819445</v>
      </c>
      <c r="Z94" s="28">
        <v>819491</v>
      </c>
      <c r="AA94" s="28">
        <v>819533</v>
      </c>
      <c r="AB94" s="28">
        <v>819706</v>
      </c>
      <c r="AC94" s="28">
        <v>819995</v>
      </c>
      <c r="AD94" s="28">
        <v>820041</v>
      </c>
      <c r="AE94" s="28">
        <v>820088</v>
      </c>
      <c r="AF94" s="28">
        <v>820271</v>
      </c>
      <c r="AG94" s="28">
        <v>820495</v>
      </c>
      <c r="AH94" s="28">
        <v>820568</v>
      </c>
      <c r="AI94" s="28">
        <v>820630</v>
      </c>
      <c r="AJ94" s="28">
        <v>820670</v>
      </c>
      <c r="AK94" s="28">
        <v>820873</v>
      </c>
      <c r="AL94" s="28">
        <v>820921</v>
      </c>
      <c r="AM94" s="28">
        <v>820957</v>
      </c>
      <c r="AN94" s="28">
        <v>821024</v>
      </c>
      <c r="AO94" s="28">
        <v>821060</v>
      </c>
      <c r="AP94" s="28">
        <v>821288</v>
      </c>
      <c r="AQ94" s="28">
        <v>821319</v>
      </c>
      <c r="AR94" s="28">
        <v>821356</v>
      </c>
      <c r="AS94" s="28">
        <v>821451</v>
      </c>
      <c r="AT94" s="28">
        <v>821500</v>
      </c>
      <c r="AU94" s="28">
        <v>821710</v>
      </c>
      <c r="AV94" s="28">
        <v>821754</v>
      </c>
      <c r="AW94" s="28">
        <v>821805</v>
      </c>
      <c r="AX94" s="28">
        <v>821885</v>
      </c>
      <c r="AY94" s="28">
        <v>821931</v>
      </c>
      <c r="AZ94" s="28">
        <v>822143</v>
      </c>
      <c r="BA94" s="28">
        <v>822185</v>
      </c>
      <c r="BB94" s="28">
        <v>822236</v>
      </c>
      <c r="BC94" s="28">
        <v>822306</v>
      </c>
      <c r="BD94" s="28">
        <v>822352</v>
      </c>
      <c r="BE94" s="28">
        <v>822558</v>
      </c>
      <c r="BF94" s="28">
        <v>822647</v>
      </c>
      <c r="BG94" s="28">
        <v>822737</v>
      </c>
      <c r="BH94" s="28">
        <v>822777</v>
      </c>
      <c r="BI94" s="28">
        <v>823003</v>
      </c>
      <c r="BJ94" s="28">
        <v>823082</v>
      </c>
    </row>
    <row r="95" spans="1:62" x14ac:dyDescent="0.25">
      <c r="A95" s="28">
        <v>420</v>
      </c>
      <c r="B95" s="28">
        <v>420</v>
      </c>
      <c r="C95" s="28">
        <v>420</v>
      </c>
      <c r="D95" s="28">
        <v>420</v>
      </c>
      <c r="E95" s="28">
        <v>420</v>
      </c>
      <c r="F95" s="28">
        <v>420</v>
      </c>
      <c r="G95" s="28">
        <v>420</v>
      </c>
      <c r="H95" s="28">
        <v>420</v>
      </c>
      <c r="I95" s="28">
        <v>420</v>
      </c>
      <c r="J95" s="28">
        <v>420</v>
      </c>
      <c r="K95" s="28">
        <v>420</v>
      </c>
      <c r="L95" s="28">
        <v>420</v>
      </c>
      <c r="M95" s="28">
        <v>420</v>
      </c>
      <c r="N95" s="28">
        <v>420</v>
      </c>
      <c r="O95" s="28">
        <v>420</v>
      </c>
      <c r="P95" s="28">
        <v>420</v>
      </c>
      <c r="Q95" s="28">
        <v>420</v>
      </c>
      <c r="R95" s="28">
        <v>420</v>
      </c>
      <c r="S95" s="28">
        <v>420</v>
      </c>
      <c r="T95" s="28">
        <v>420</v>
      </c>
      <c r="U95" s="28">
        <v>420</v>
      </c>
      <c r="V95" s="28">
        <v>420</v>
      </c>
      <c r="W95" s="28">
        <v>420</v>
      </c>
      <c r="X95" s="28">
        <v>420</v>
      </c>
      <c r="Y95" s="28">
        <v>420</v>
      </c>
      <c r="Z95" s="28">
        <v>420</v>
      </c>
      <c r="AA95" s="28">
        <v>420</v>
      </c>
      <c r="AB95" s="28">
        <v>420</v>
      </c>
      <c r="AC95" s="28">
        <v>420</v>
      </c>
      <c r="AD95" s="28">
        <v>420</v>
      </c>
      <c r="AE95" s="28">
        <v>420</v>
      </c>
      <c r="AF95" s="28">
        <v>420</v>
      </c>
      <c r="AG95" s="28">
        <v>420</v>
      </c>
      <c r="AH95" s="28">
        <v>420</v>
      </c>
      <c r="AI95" s="28">
        <v>420</v>
      </c>
      <c r="AJ95" s="28">
        <v>420</v>
      </c>
      <c r="AK95" s="28">
        <v>420</v>
      </c>
      <c r="AL95" s="28">
        <v>420</v>
      </c>
      <c r="AM95" s="28">
        <v>420</v>
      </c>
      <c r="AN95" s="28">
        <v>420</v>
      </c>
      <c r="AO95" s="28">
        <v>420</v>
      </c>
      <c r="AP95" s="28">
        <v>420</v>
      </c>
      <c r="AQ95" s="28">
        <v>420</v>
      </c>
      <c r="AR95" s="28">
        <v>420</v>
      </c>
      <c r="AS95" s="28">
        <v>420</v>
      </c>
      <c r="AT95" s="28">
        <v>420</v>
      </c>
      <c r="AU95" s="28">
        <v>420</v>
      </c>
      <c r="AV95" s="28">
        <v>420</v>
      </c>
      <c r="AW95" s="28">
        <v>420</v>
      </c>
      <c r="AX95" s="28">
        <v>420</v>
      </c>
      <c r="AY95" s="28">
        <v>420</v>
      </c>
      <c r="AZ95" s="28">
        <v>420</v>
      </c>
      <c r="BA95" s="28">
        <v>420</v>
      </c>
      <c r="BB95" s="28">
        <v>420</v>
      </c>
      <c r="BC95" s="28">
        <v>420</v>
      </c>
      <c r="BD95" s="28">
        <v>420</v>
      </c>
      <c r="BE95" s="28">
        <v>420</v>
      </c>
      <c r="BF95" s="28">
        <v>420</v>
      </c>
      <c r="BG95" s="28">
        <v>420</v>
      </c>
      <c r="BH95" s="28">
        <v>420</v>
      </c>
      <c r="BI95" s="28">
        <v>420</v>
      </c>
      <c r="BJ95" s="28">
        <v>420</v>
      </c>
    </row>
    <row r="96" spans="1:62" x14ac:dyDescent="0.25">
      <c r="A96" s="28">
        <v>416</v>
      </c>
      <c r="B96" s="28">
        <v>416</v>
      </c>
      <c r="C96" s="28">
        <v>416</v>
      </c>
      <c r="D96" s="28">
        <v>416</v>
      </c>
      <c r="E96" s="28">
        <v>416</v>
      </c>
      <c r="F96" s="28">
        <v>416</v>
      </c>
      <c r="G96" s="28">
        <v>416</v>
      </c>
      <c r="H96" s="28">
        <v>416</v>
      </c>
      <c r="I96" s="28">
        <v>416</v>
      </c>
      <c r="J96" s="28">
        <v>416</v>
      </c>
      <c r="K96" s="28">
        <v>416</v>
      </c>
      <c r="L96" s="28">
        <v>416</v>
      </c>
      <c r="M96" s="28">
        <v>416</v>
      </c>
      <c r="N96" s="28">
        <v>416</v>
      </c>
      <c r="O96" s="28">
        <v>416</v>
      </c>
      <c r="P96" s="28">
        <v>416</v>
      </c>
      <c r="Q96" s="28">
        <v>416</v>
      </c>
      <c r="R96" s="28">
        <v>416</v>
      </c>
      <c r="S96" s="28">
        <v>416</v>
      </c>
      <c r="T96" s="28">
        <v>416</v>
      </c>
      <c r="U96" s="28">
        <v>416</v>
      </c>
      <c r="V96" s="28">
        <v>416</v>
      </c>
      <c r="W96" s="28">
        <v>416</v>
      </c>
      <c r="X96" s="28">
        <v>416</v>
      </c>
      <c r="Y96" s="28">
        <v>416</v>
      </c>
      <c r="Z96" s="28">
        <v>416</v>
      </c>
      <c r="AA96" s="28">
        <v>416</v>
      </c>
      <c r="AB96" s="28">
        <v>416</v>
      </c>
      <c r="AC96" s="28">
        <v>416</v>
      </c>
      <c r="AD96" s="28">
        <v>416</v>
      </c>
      <c r="AE96" s="28">
        <v>416</v>
      </c>
      <c r="AF96" s="28">
        <v>416</v>
      </c>
      <c r="AG96" s="28">
        <v>416</v>
      </c>
      <c r="AH96" s="28">
        <v>416</v>
      </c>
      <c r="AI96" s="28">
        <v>416</v>
      </c>
      <c r="AJ96" s="28">
        <v>416</v>
      </c>
      <c r="AK96" s="28">
        <v>416</v>
      </c>
      <c r="AL96" s="28">
        <v>416</v>
      </c>
      <c r="AM96" s="28">
        <v>416</v>
      </c>
      <c r="AN96" s="28">
        <v>416</v>
      </c>
      <c r="AO96" s="28">
        <v>416</v>
      </c>
      <c r="AP96" s="28">
        <v>416</v>
      </c>
      <c r="AQ96" s="28">
        <v>416</v>
      </c>
      <c r="AR96" s="28">
        <v>416</v>
      </c>
      <c r="AS96" s="28">
        <v>416</v>
      </c>
      <c r="AT96" s="28">
        <v>416</v>
      </c>
      <c r="AU96" s="28">
        <v>416</v>
      </c>
      <c r="AV96" s="28">
        <v>416</v>
      </c>
      <c r="AW96" s="28">
        <v>416</v>
      </c>
      <c r="AX96" s="28">
        <v>416</v>
      </c>
      <c r="AY96" s="28">
        <v>416</v>
      </c>
      <c r="AZ96" s="28">
        <v>416</v>
      </c>
      <c r="BA96" s="28">
        <v>416</v>
      </c>
      <c r="BB96" s="28">
        <v>416</v>
      </c>
      <c r="BC96" s="28">
        <v>416</v>
      </c>
      <c r="BD96" s="28">
        <v>416</v>
      </c>
      <c r="BE96" s="28">
        <v>416</v>
      </c>
      <c r="BF96" s="28">
        <v>416</v>
      </c>
      <c r="BG96" s="28">
        <v>416</v>
      </c>
      <c r="BH96" s="28">
        <v>416</v>
      </c>
      <c r="BI96" s="28">
        <v>416</v>
      </c>
      <c r="BJ96" s="28">
        <v>416</v>
      </c>
    </row>
    <row r="97" spans="1:62" x14ac:dyDescent="0.25">
      <c r="A97" s="28">
        <v>424</v>
      </c>
      <c r="B97" s="28">
        <v>424</v>
      </c>
      <c r="C97" s="28">
        <v>424</v>
      </c>
      <c r="D97" s="28">
        <v>424</v>
      </c>
      <c r="E97" s="28">
        <v>424</v>
      </c>
      <c r="F97" s="28">
        <v>424</v>
      </c>
      <c r="G97" s="28">
        <v>424</v>
      </c>
      <c r="H97" s="28">
        <v>424</v>
      </c>
      <c r="I97" s="28">
        <v>424</v>
      </c>
      <c r="J97" s="28">
        <v>424</v>
      </c>
      <c r="K97" s="28">
        <v>424</v>
      </c>
      <c r="L97" s="28">
        <v>424</v>
      </c>
      <c r="M97" s="28">
        <v>424</v>
      </c>
      <c r="N97" s="28">
        <v>424</v>
      </c>
      <c r="O97" s="28">
        <v>424</v>
      </c>
      <c r="P97" s="28">
        <v>424</v>
      </c>
      <c r="Q97" s="28">
        <v>424</v>
      </c>
      <c r="R97" s="28">
        <v>424</v>
      </c>
      <c r="S97" s="28">
        <v>424</v>
      </c>
      <c r="T97" s="28">
        <v>424</v>
      </c>
      <c r="U97" s="28">
        <v>424</v>
      </c>
      <c r="V97" s="28">
        <v>424</v>
      </c>
      <c r="W97" s="28">
        <v>424</v>
      </c>
      <c r="X97" s="28">
        <v>424</v>
      </c>
      <c r="Y97" s="28">
        <v>424</v>
      </c>
      <c r="Z97" s="28">
        <v>424</v>
      </c>
      <c r="AA97" s="28">
        <v>424</v>
      </c>
      <c r="AB97" s="28">
        <v>424</v>
      </c>
      <c r="AC97" s="28">
        <v>424</v>
      </c>
      <c r="AD97" s="28">
        <v>424</v>
      </c>
      <c r="AE97" s="28">
        <v>424</v>
      </c>
      <c r="AF97" s="28">
        <v>424</v>
      </c>
      <c r="AG97" s="28">
        <v>424</v>
      </c>
      <c r="AH97" s="28">
        <v>424</v>
      </c>
      <c r="AI97" s="28">
        <v>424</v>
      </c>
      <c r="AJ97" s="28">
        <v>424</v>
      </c>
      <c r="AK97" s="28">
        <v>424</v>
      </c>
      <c r="AL97" s="28">
        <v>424</v>
      </c>
      <c r="AM97" s="28">
        <v>424</v>
      </c>
      <c r="AN97" s="28">
        <v>424</v>
      </c>
      <c r="AO97" s="28">
        <v>424</v>
      </c>
      <c r="AP97" s="28">
        <v>424</v>
      </c>
      <c r="AQ97" s="28">
        <v>424</v>
      </c>
      <c r="AR97" s="28">
        <v>424</v>
      </c>
      <c r="AS97" s="28">
        <v>424</v>
      </c>
      <c r="AT97" s="28">
        <v>424</v>
      </c>
      <c r="AU97" s="28">
        <v>424</v>
      </c>
      <c r="AV97" s="28">
        <v>424</v>
      </c>
      <c r="AW97" s="28">
        <v>424</v>
      </c>
      <c r="AX97" s="28">
        <v>424</v>
      </c>
      <c r="AY97" s="28">
        <v>424</v>
      </c>
      <c r="AZ97" s="28">
        <v>424</v>
      </c>
      <c r="BA97" s="28">
        <v>424</v>
      </c>
      <c r="BB97" s="28">
        <v>424</v>
      </c>
      <c r="BC97" s="28">
        <v>424</v>
      </c>
      <c r="BD97" s="28">
        <v>424</v>
      </c>
      <c r="BE97" s="28">
        <v>424</v>
      </c>
      <c r="BF97" s="28">
        <v>424</v>
      </c>
      <c r="BG97" s="28">
        <v>424</v>
      </c>
      <c r="BH97" s="28">
        <v>424</v>
      </c>
      <c r="BI97" s="28">
        <v>424</v>
      </c>
      <c r="BJ97" s="28">
        <v>424</v>
      </c>
    </row>
    <row r="98" spans="1:62" x14ac:dyDescent="0.25">
      <c r="A98" s="28">
        <v>419.9</v>
      </c>
      <c r="B98" s="28">
        <v>421.94</v>
      </c>
      <c r="C98" s="28">
        <v>420.6</v>
      </c>
      <c r="D98" s="28">
        <v>421.9</v>
      </c>
      <c r="E98" s="28">
        <v>419.8</v>
      </c>
      <c r="F98" s="28">
        <v>421.4</v>
      </c>
      <c r="G98" s="28">
        <v>419.3</v>
      </c>
      <c r="H98" s="28">
        <v>422.1</v>
      </c>
      <c r="I98" s="28">
        <v>422.2</v>
      </c>
      <c r="J98" s="28">
        <v>421.66</v>
      </c>
      <c r="K98" s="28">
        <v>420.29</v>
      </c>
      <c r="L98" s="28">
        <v>421.82</v>
      </c>
      <c r="M98" s="28">
        <v>422.23</v>
      </c>
      <c r="N98" s="28">
        <v>421.5</v>
      </c>
      <c r="O98" s="28">
        <v>421.09</v>
      </c>
      <c r="P98" s="28">
        <v>420.49</v>
      </c>
      <c r="Q98" s="28">
        <v>420.79</v>
      </c>
      <c r="R98" s="28">
        <v>420.69</v>
      </c>
      <c r="S98" s="28">
        <v>421.5</v>
      </c>
      <c r="T98" s="28">
        <v>420.9</v>
      </c>
      <c r="U98" s="28">
        <v>421.7</v>
      </c>
      <c r="V98" s="28">
        <v>419.96</v>
      </c>
      <c r="W98" s="28">
        <v>421.8</v>
      </c>
      <c r="X98" s="28">
        <v>421.5</v>
      </c>
      <c r="Y98" s="28">
        <v>422.1</v>
      </c>
      <c r="Z98" s="28">
        <v>420.91</v>
      </c>
      <c r="AA98" s="28">
        <v>421.57</v>
      </c>
      <c r="AB98" s="28">
        <v>420.2</v>
      </c>
      <c r="AC98" s="28">
        <v>421.33</v>
      </c>
      <c r="AD98" s="28">
        <v>421.34</v>
      </c>
      <c r="AE98" s="28">
        <v>421.51</v>
      </c>
      <c r="AF98" s="28">
        <v>420.54</v>
      </c>
      <c r="AG98" s="28">
        <v>420.95</v>
      </c>
      <c r="AH98" s="28">
        <v>421.52</v>
      </c>
      <c r="AI98" s="28">
        <v>421.8</v>
      </c>
      <c r="AJ98" s="28">
        <v>422.09</v>
      </c>
      <c r="AK98" s="28">
        <v>419.84</v>
      </c>
      <c r="AL98" s="28">
        <v>421.22</v>
      </c>
      <c r="AM98" s="28">
        <v>420.96</v>
      </c>
      <c r="AN98" s="28">
        <v>421.22</v>
      </c>
      <c r="AO98" s="28">
        <v>420.98</v>
      </c>
      <c r="AP98" s="28">
        <v>421.62</v>
      </c>
      <c r="AQ98" s="28">
        <v>421.37</v>
      </c>
      <c r="AR98" s="28">
        <v>422.2</v>
      </c>
      <c r="AS98" s="28">
        <v>422.02</v>
      </c>
      <c r="AT98" s="28">
        <v>422.52</v>
      </c>
      <c r="AU98" s="28">
        <v>419.99</v>
      </c>
      <c r="AV98" s="28">
        <v>422.28</v>
      </c>
      <c r="AW98" s="28">
        <v>421.27</v>
      </c>
      <c r="AX98" s="28">
        <v>422.23</v>
      </c>
      <c r="AY98" s="28">
        <v>422.6</v>
      </c>
      <c r="AZ98" s="28">
        <v>421.16</v>
      </c>
      <c r="BA98" s="28">
        <v>421.54</v>
      </c>
      <c r="BB98" s="28">
        <v>421</v>
      </c>
      <c r="BC98" s="28">
        <v>422.02</v>
      </c>
      <c r="BD98" s="28">
        <v>422.3</v>
      </c>
      <c r="BE98" s="28">
        <v>420.75</v>
      </c>
      <c r="BF98" s="28">
        <v>421.7</v>
      </c>
      <c r="BG98" s="28">
        <v>421.91</v>
      </c>
      <c r="BH98" s="28">
        <v>421.84</v>
      </c>
      <c r="BI98" s="28">
        <v>420.1</v>
      </c>
      <c r="BJ98" s="28">
        <v>421.46</v>
      </c>
    </row>
    <row r="99" spans="1:62" x14ac:dyDescent="0.25">
      <c r="A99" s="28" t="s">
        <v>30</v>
      </c>
      <c r="B99" s="28" t="s">
        <v>31</v>
      </c>
      <c r="C99" s="28" t="s">
        <v>54</v>
      </c>
      <c r="D99" s="28" t="s">
        <v>55</v>
      </c>
      <c r="E99" s="28" t="s">
        <v>62</v>
      </c>
      <c r="F99" s="28" t="s">
        <v>63</v>
      </c>
      <c r="G99" s="28" t="s">
        <v>18</v>
      </c>
      <c r="H99" s="28">
        <v>62</v>
      </c>
    </row>
    <row r="100" spans="1:62" x14ac:dyDescent="0.25">
      <c r="A100" s="5">
        <v>46169</v>
      </c>
      <c r="B100" s="5">
        <v>46169</v>
      </c>
      <c r="C100" s="5">
        <v>46169</v>
      </c>
      <c r="D100" s="5">
        <v>46169</v>
      </c>
      <c r="E100" s="5">
        <v>46170</v>
      </c>
      <c r="F100" s="5">
        <v>46170</v>
      </c>
      <c r="G100" s="5">
        <v>46171</v>
      </c>
      <c r="H100" s="5">
        <v>46171</v>
      </c>
      <c r="I100" s="5">
        <v>46171</v>
      </c>
      <c r="J100" s="5">
        <v>46171</v>
      </c>
      <c r="K100" s="5">
        <v>46172</v>
      </c>
      <c r="L100" s="5">
        <v>46172</v>
      </c>
      <c r="M100" s="5">
        <v>46172</v>
      </c>
      <c r="N100" s="5">
        <v>46174</v>
      </c>
      <c r="O100" s="5">
        <v>46174</v>
      </c>
      <c r="P100" s="5">
        <v>46174</v>
      </c>
      <c r="Q100" s="5">
        <v>46174</v>
      </c>
      <c r="R100" s="5">
        <v>46175</v>
      </c>
      <c r="S100" s="5">
        <v>46175</v>
      </c>
      <c r="T100" s="5">
        <v>46175</v>
      </c>
      <c r="U100" s="5">
        <v>46176</v>
      </c>
      <c r="V100" s="5">
        <v>46176</v>
      </c>
      <c r="W100" s="5">
        <v>46176</v>
      </c>
      <c r="X100" s="5">
        <v>46176</v>
      </c>
      <c r="Y100" s="5">
        <v>46176</v>
      </c>
      <c r="Z100" s="5">
        <v>46176</v>
      </c>
      <c r="AA100" s="5">
        <v>46176</v>
      </c>
      <c r="AB100" s="5">
        <v>46177</v>
      </c>
      <c r="AC100" s="5">
        <v>46178</v>
      </c>
      <c r="AD100" s="5">
        <v>46178</v>
      </c>
      <c r="AE100" s="5">
        <v>46178</v>
      </c>
      <c r="AF100" s="5">
        <v>46179</v>
      </c>
      <c r="AG100" s="5">
        <v>46180</v>
      </c>
      <c r="AH100" s="5">
        <v>46180</v>
      </c>
      <c r="AI100" s="5">
        <v>46180</v>
      </c>
      <c r="AJ100" s="5">
        <v>46180</v>
      </c>
      <c r="AK100" s="5">
        <v>46181</v>
      </c>
      <c r="AL100" s="5">
        <v>46181</v>
      </c>
      <c r="AM100" s="5">
        <v>46181</v>
      </c>
      <c r="AN100" s="5">
        <v>46181</v>
      </c>
      <c r="AO100" s="5">
        <v>46181</v>
      </c>
      <c r="AP100" s="5">
        <v>46182</v>
      </c>
      <c r="AQ100" s="5">
        <v>46182</v>
      </c>
      <c r="AR100" s="5">
        <v>46182</v>
      </c>
      <c r="AS100" s="5">
        <v>46182</v>
      </c>
      <c r="AT100" s="5">
        <v>46182</v>
      </c>
      <c r="AU100" s="5">
        <v>46183</v>
      </c>
      <c r="AV100" s="5">
        <v>46183</v>
      </c>
      <c r="AW100" s="5">
        <v>46183</v>
      </c>
      <c r="AX100" s="5">
        <v>46183</v>
      </c>
      <c r="AY100" s="5">
        <v>46183</v>
      </c>
      <c r="AZ100" s="5">
        <v>46184</v>
      </c>
      <c r="BA100" s="5">
        <v>46184</v>
      </c>
      <c r="BB100" s="5">
        <v>46184</v>
      </c>
      <c r="BC100" s="5">
        <v>46184</v>
      </c>
      <c r="BD100" s="5">
        <v>46184</v>
      </c>
      <c r="BE100" s="5">
        <v>46185</v>
      </c>
      <c r="BF100" s="5">
        <v>46185</v>
      </c>
      <c r="BG100" s="5">
        <v>46185</v>
      </c>
      <c r="BH100" s="5">
        <v>46185</v>
      </c>
      <c r="BI100" s="5">
        <v>46186</v>
      </c>
      <c r="BJ100" s="5">
        <v>46186</v>
      </c>
    </row>
    <row r="101" spans="1:62" x14ac:dyDescent="0.25">
      <c r="A101" s="28">
        <v>816948</v>
      </c>
      <c r="B101" s="28">
        <v>816987</v>
      </c>
      <c r="C101" s="28">
        <v>816998</v>
      </c>
      <c r="D101" s="28">
        <v>817092</v>
      </c>
      <c r="E101" s="28">
        <v>817353</v>
      </c>
      <c r="F101" s="28">
        <v>817441</v>
      </c>
      <c r="G101" s="28">
        <v>817773</v>
      </c>
      <c r="H101" s="28">
        <v>817861</v>
      </c>
      <c r="I101" s="28">
        <v>817943</v>
      </c>
      <c r="J101" s="28">
        <v>817985</v>
      </c>
      <c r="K101" s="28">
        <v>818214</v>
      </c>
      <c r="L101" s="28">
        <v>818254</v>
      </c>
      <c r="M101" s="28">
        <v>818291</v>
      </c>
      <c r="N101" s="28">
        <v>818439</v>
      </c>
      <c r="O101" s="28">
        <v>818580</v>
      </c>
      <c r="P101" s="28">
        <v>818627</v>
      </c>
      <c r="Q101" s="28">
        <v>818667</v>
      </c>
      <c r="R101" s="28">
        <v>818839</v>
      </c>
      <c r="S101" s="28">
        <v>818934</v>
      </c>
      <c r="T101" s="28">
        <v>819019</v>
      </c>
      <c r="U101" s="28">
        <v>819103</v>
      </c>
      <c r="V101" s="28">
        <v>819271</v>
      </c>
      <c r="W101" s="28">
        <v>819315</v>
      </c>
      <c r="X101" s="28">
        <v>819370</v>
      </c>
      <c r="Y101" s="28">
        <v>819445</v>
      </c>
      <c r="Z101" s="28">
        <v>819491</v>
      </c>
      <c r="AA101" s="28">
        <v>819533</v>
      </c>
      <c r="AB101" s="28">
        <v>819706</v>
      </c>
      <c r="AC101" s="28">
        <v>819995</v>
      </c>
      <c r="AD101" s="28">
        <v>820041</v>
      </c>
      <c r="AE101" s="28">
        <v>820088</v>
      </c>
      <c r="AF101" s="28">
        <v>820271</v>
      </c>
      <c r="AG101" s="28">
        <v>820495</v>
      </c>
      <c r="AH101" s="28">
        <v>820568</v>
      </c>
      <c r="AI101" s="28">
        <v>820630</v>
      </c>
      <c r="AJ101" s="28">
        <v>820670</v>
      </c>
      <c r="AK101" s="28">
        <v>820873</v>
      </c>
      <c r="AL101" s="28">
        <v>820921</v>
      </c>
      <c r="AM101" s="28">
        <v>820957</v>
      </c>
      <c r="AN101" s="28">
        <v>821024</v>
      </c>
      <c r="AO101" s="28">
        <v>821060</v>
      </c>
      <c r="AP101" s="28">
        <v>821288</v>
      </c>
      <c r="AQ101" s="28">
        <v>821319</v>
      </c>
      <c r="AR101" s="28">
        <v>821356</v>
      </c>
      <c r="AS101" s="28">
        <v>821451</v>
      </c>
      <c r="AT101" s="28">
        <v>821500</v>
      </c>
      <c r="AU101" s="28">
        <v>821710</v>
      </c>
      <c r="AV101" s="28">
        <v>821754</v>
      </c>
      <c r="AW101" s="28">
        <v>821805</v>
      </c>
      <c r="AX101" s="28">
        <v>821885</v>
      </c>
      <c r="AY101" s="28">
        <v>821931</v>
      </c>
      <c r="AZ101" s="28">
        <v>822143</v>
      </c>
      <c r="BA101" s="28">
        <v>822185</v>
      </c>
      <c r="BB101" s="28">
        <v>822236</v>
      </c>
      <c r="BC101" s="28">
        <v>822306</v>
      </c>
      <c r="BD101" s="28">
        <v>822352</v>
      </c>
      <c r="BE101" s="28">
        <v>822558</v>
      </c>
      <c r="BF101" s="28">
        <v>822647</v>
      </c>
      <c r="BG101" s="28">
        <v>822737</v>
      </c>
      <c r="BH101" s="28">
        <v>822777</v>
      </c>
      <c r="BI101" s="28">
        <v>823003</v>
      </c>
      <c r="BJ101" s="28">
        <v>823082</v>
      </c>
    </row>
    <row r="102" spans="1:62" x14ac:dyDescent="0.25">
      <c r="A102" s="28">
        <v>459.6</v>
      </c>
      <c r="B102" s="28">
        <v>459.6</v>
      </c>
      <c r="C102" s="28">
        <v>459.6</v>
      </c>
      <c r="D102" s="28">
        <v>459.6</v>
      </c>
      <c r="E102" s="28">
        <v>459.6</v>
      </c>
      <c r="F102" s="28">
        <v>459.6</v>
      </c>
      <c r="G102" s="28">
        <v>459.6</v>
      </c>
      <c r="H102" s="28">
        <v>459.6</v>
      </c>
      <c r="I102" s="28">
        <v>459.6</v>
      </c>
      <c r="J102" s="28">
        <v>459.6</v>
      </c>
      <c r="K102" s="28">
        <v>459.6</v>
      </c>
      <c r="L102" s="28">
        <v>459.6</v>
      </c>
      <c r="M102" s="28">
        <v>459.6</v>
      </c>
      <c r="N102" s="28">
        <v>459.6</v>
      </c>
      <c r="O102" s="28">
        <v>459.6</v>
      </c>
      <c r="P102" s="28">
        <v>459.6</v>
      </c>
      <c r="Q102" s="28">
        <v>459.6</v>
      </c>
      <c r="R102" s="28">
        <v>459.6</v>
      </c>
      <c r="S102" s="28">
        <v>459.6</v>
      </c>
      <c r="T102" s="28">
        <v>459.6</v>
      </c>
      <c r="U102" s="28">
        <v>459.6</v>
      </c>
      <c r="V102" s="28">
        <v>459.6</v>
      </c>
      <c r="W102" s="28">
        <v>459.6</v>
      </c>
      <c r="X102" s="28">
        <v>459.6</v>
      </c>
      <c r="Y102" s="28">
        <v>459.6</v>
      </c>
      <c r="Z102" s="28">
        <v>459.6</v>
      </c>
      <c r="AA102" s="28">
        <v>459.6</v>
      </c>
      <c r="AB102" s="28">
        <v>459.6</v>
      </c>
      <c r="AC102" s="28">
        <v>459.6</v>
      </c>
      <c r="AD102" s="28">
        <v>459.6</v>
      </c>
      <c r="AE102" s="28">
        <v>459.6</v>
      </c>
      <c r="AF102" s="28">
        <v>459.6</v>
      </c>
      <c r="AG102" s="28">
        <v>459.6</v>
      </c>
      <c r="AH102" s="28">
        <v>459.6</v>
      </c>
      <c r="AI102" s="28">
        <v>459.6</v>
      </c>
      <c r="AJ102" s="28">
        <v>459.6</v>
      </c>
      <c r="AK102" s="28">
        <v>459.6</v>
      </c>
      <c r="AL102" s="28">
        <v>459.6</v>
      </c>
      <c r="AM102" s="28">
        <v>459.6</v>
      </c>
      <c r="AN102" s="28">
        <v>459.6</v>
      </c>
      <c r="AO102" s="28">
        <v>459.6</v>
      </c>
      <c r="AP102" s="28">
        <v>459.6</v>
      </c>
      <c r="AQ102" s="28">
        <v>459.6</v>
      </c>
      <c r="AR102" s="28">
        <v>459.6</v>
      </c>
      <c r="AS102" s="28">
        <v>459.6</v>
      </c>
      <c r="AT102" s="28">
        <v>459.6</v>
      </c>
      <c r="AU102" s="28">
        <v>459.6</v>
      </c>
      <c r="AV102" s="28">
        <v>459.6</v>
      </c>
      <c r="AW102" s="28">
        <v>459.6</v>
      </c>
      <c r="AX102" s="28">
        <v>459.6</v>
      </c>
      <c r="AY102" s="28">
        <v>459.6</v>
      </c>
      <c r="AZ102" s="28">
        <v>459.6</v>
      </c>
      <c r="BA102" s="28">
        <v>459.6</v>
      </c>
      <c r="BB102" s="28">
        <v>459.6</v>
      </c>
      <c r="BC102" s="28">
        <v>459.6</v>
      </c>
      <c r="BD102" s="28">
        <v>459.6</v>
      </c>
      <c r="BE102" s="28">
        <v>459.6</v>
      </c>
      <c r="BF102" s="28">
        <v>459.6</v>
      </c>
      <c r="BG102" s="28">
        <v>459.6</v>
      </c>
      <c r="BH102" s="28">
        <v>459.6</v>
      </c>
      <c r="BI102" s="28">
        <v>459.6</v>
      </c>
      <c r="BJ102" s="28">
        <v>459.6</v>
      </c>
    </row>
    <row r="103" spans="1:62" x14ac:dyDescent="0.25">
      <c r="A103" s="28">
        <v>455.6</v>
      </c>
      <c r="B103" s="28">
        <v>455.6</v>
      </c>
      <c r="C103" s="28">
        <v>455.6</v>
      </c>
      <c r="D103" s="28">
        <v>455.6</v>
      </c>
      <c r="E103" s="28">
        <v>455.6</v>
      </c>
      <c r="F103" s="28">
        <v>455.6</v>
      </c>
      <c r="G103" s="28">
        <v>455.6</v>
      </c>
      <c r="H103" s="28">
        <v>455.6</v>
      </c>
      <c r="I103" s="28">
        <v>455.6</v>
      </c>
      <c r="J103" s="28">
        <v>455.6</v>
      </c>
      <c r="K103" s="28">
        <v>455.6</v>
      </c>
      <c r="L103" s="28">
        <v>455.6</v>
      </c>
      <c r="M103" s="28">
        <v>455.6</v>
      </c>
      <c r="N103" s="28">
        <v>455.6</v>
      </c>
      <c r="O103" s="28">
        <v>455.6</v>
      </c>
      <c r="P103" s="28">
        <v>455.6</v>
      </c>
      <c r="Q103" s="28">
        <v>455.6</v>
      </c>
      <c r="R103" s="28">
        <v>455.6</v>
      </c>
      <c r="S103" s="28">
        <v>455.6</v>
      </c>
      <c r="T103" s="28">
        <v>455.6</v>
      </c>
      <c r="U103" s="28">
        <v>455.6</v>
      </c>
      <c r="V103" s="28">
        <v>455.6</v>
      </c>
      <c r="W103" s="28">
        <v>455.6</v>
      </c>
      <c r="X103" s="28">
        <v>455.6</v>
      </c>
      <c r="Y103" s="28">
        <v>455.6</v>
      </c>
      <c r="Z103" s="28">
        <v>455.6</v>
      </c>
      <c r="AA103" s="28">
        <v>455.6</v>
      </c>
      <c r="AB103" s="28">
        <v>455.6</v>
      </c>
      <c r="AC103" s="28">
        <v>455.6</v>
      </c>
      <c r="AD103" s="28">
        <v>455.6</v>
      </c>
      <c r="AE103" s="28">
        <v>455.6</v>
      </c>
      <c r="AF103" s="28">
        <v>455.6</v>
      </c>
      <c r="AG103" s="28">
        <v>455.6</v>
      </c>
      <c r="AH103" s="28">
        <v>455.6</v>
      </c>
      <c r="AI103" s="28">
        <v>455.6</v>
      </c>
      <c r="AJ103" s="28">
        <v>455.6</v>
      </c>
      <c r="AK103" s="28">
        <v>455.6</v>
      </c>
      <c r="AL103" s="28">
        <v>455.6</v>
      </c>
      <c r="AM103" s="28">
        <v>455.6</v>
      </c>
      <c r="AN103" s="28">
        <v>455.6</v>
      </c>
      <c r="AO103" s="28">
        <v>455.6</v>
      </c>
      <c r="AP103" s="28">
        <v>455.6</v>
      </c>
      <c r="AQ103" s="28">
        <v>455.6</v>
      </c>
      <c r="AR103" s="28">
        <v>455.6</v>
      </c>
      <c r="AS103" s="28">
        <v>455.6</v>
      </c>
      <c r="AT103" s="28">
        <v>455.6</v>
      </c>
      <c r="AU103" s="28">
        <v>455.6</v>
      </c>
      <c r="AV103" s="28">
        <v>455.6</v>
      </c>
      <c r="AW103" s="28">
        <v>455.6</v>
      </c>
      <c r="AX103" s="28">
        <v>455.6</v>
      </c>
      <c r="AY103" s="28">
        <v>455.6</v>
      </c>
      <c r="AZ103" s="28">
        <v>455.6</v>
      </c>
      <c r="BA103" s="28">
        <v>455.6</v>
      </c>
      <c r="BB103" s="28">
        <v>455.6</v>
      </c>
      <c r="BC103" s="28">
        <v>455.6</v>
      </c>
      <c r="BD103" s="28">
        <v>455.6</v>
      </c>
      <c r="BE103" s="28">
        <v>455.6</v>
      </c>
      <c r="BF103" s="28">
        <v>455.6</v>
      </c>
      <c r="BG103" s="28">
        <v>455.6</v>
      </c>
      <c r="BH103" s="28">
        <v>455.6</v>
      </c>
      <c r="BI103" s="28">
        <v>455.6</v>
      </c>
      <c r="BJ103" s="28">
        <v>455.6</v>
      </c>
    </row>
    <row r="104" spans="1:62" x14ac:dyDescent="0.25">
      <c r="A104" s="28">
        <v>463.6</v>
      </c>
      <c r="B104" s="28">
        <v>463.6</v>
      </c>
      <c r="C104" s="28">
        <v>463.6</v>
      </c>
      <c r="D104" s="28">
        <v>463.6</v>
      </c>
      <c r="E104" s="28">
        <v>463.6</v>
      </c>
      <c r="F104" s="28">
        <v>463.6</v>
      </c>
      <c r="G104" s="28">
        <v>463.6</v>
      </c>
      <c r="H104" s="28">
        <v>463.6</v>
      </c>
      <c r="I104" s="28">
        <v>463.6</v>
      </c>
      <c r="J104" s="28">
        <v>463.6</v>
      </c>
      <c r="K104" s="28">
        <v>463.6</v>
      </c>
      <c r="L104" s="28">
        <v>463.6</v>
      </c>
      <c r="M104" s="28">
        <v>463.6</v>
      </c>
      <c r="N104" s="28">
        <v>463.6</v>
      </c>
      <c r="O104" s="28">
        <v>463.6</v>
      </c>
      <c r="P104" s="28">
        <v>463.6</v>
      </c>
      <c r="Q104" s="28">
        <v>463.6</v>
      </c>
      <c r="R104" s="28">
        <v>463.6</v>
      </c>
      <c r="S104" s="28">
        <v>463.6</v>
      </c>
      <c r="T104" s="28">
        <v>463.6</v>
      </c>
      <c r="U104" s="28">
        <v>463.6</v>
      </c>
      <c r="V104" s="28">
        <v>463.6</v>
      </c>
      <c r="W104" s="28">
        <v>463.6</v>
      </c>
      <c r="X104" s="28">
        <v>463.6</v>
      </c>
      <c r="Y104" s="28">
        <v>463.6</v>
      </c>
      <c r="Z104" s="28">
        <v>463.6</v>
      </c>
      <c r="AA104" s="28">
        <v>463.6</v>
      </c>
      <c r="AB104" s="28">
        <v>463.6</v>
      </c>
      <c r="AC104" s="28">
        <v>463.6</v>
      </c>
      <c r="AD104" s="28">
        <v>463.6</v>
      </c>
      <c r="AE104" s="28">
        <v>463.6</v>
      </c>
      <c r="AF104" s="28">
        <v>463.6</v>
      </c>
      <c r="AG104" s="28">
        <v>463.6</v>
      </c>
      <c r="AH104" s="28">
        <v>463.6</v>
      </c>
      <c r="AI104" s="28">
        <v>463.6</v>
      </c>
      <c r="AJ104" s="28">
        <v>463.6</v>
      </c>
      <c r="AK104" s="28">
        <v>463.6</v>
      </c>
      <c r="AL104" s="28">
        <v>463.6</v>
      </c>
      <c r="AM104" s="28">
        <v>463.6</v>
      </c>
      <c r="AN104" s="28">
        <v>463.6</v>
      </c>
      <c r="AO104" s="28">
        <v>463.6</v>
      </c>
      <c r="AP104" s="28">
        <v>463.6</v>
      </c>
      <c r="AQ104" s="28">
        <v>463.6</v>
      </c>
      <c r="AR104" s="28">
        <v>463.6</v>
      </c>
      <c r="AS104" s="28">
        <v>463.6</v>
      </c>
      <c r="AT104" s="28">
        <v>463.6</v>
      </c>
      <c r="AU104" s="28">
        <v>463.6</v>
      </c>
      <c r="AV104" s="28">
        <v>463.6</v>
      </c>
      <c r="AW104" s="28">
        <v>463.6</v>
      </c>
      <c r="AX104" s="28">
        <v>463.6</v>
      </c>
      <c r="AY104" s="28">
        <v>463.6</v>
      </c>
      <c r="AZ104" s="28">
        <v>463.6</v>
      </c>
      <c r="BA104" s="28">
        <v>463.6</v>
      </c>
      <c r="BB104" s="28">
        <v>463.6</v>
      </c>
      <c r="BC104" s="28">
        <v>463.6</v>
      </c>
      <c r="BD104" s="28">
        <v>463.6</v>
      </c>
      <c r="BE104" s="28">
        <v>463.6</v>
      </c>
      <c r="BF104" s="28">
        <v>463.6</v>
      </c>
      <c r="BG104" s="28">
        <v>463.6</v>
      </c>
      <c r="BH104" s="28">
        <v>463.6</v>
      </c>
      <c r="BI104" s="28">
        <v>463.6</v>
      </c>
      <c r="BJ104" s="28">
        <v>463.6</v>
      </c>
    </row>
    <row r="105" spans="1:62" x14ac:dyDescent="0.25">
      <c r="A105" s="28">
        <v>460.13</v>
      </c>
      <c r="B105" s="28">
        <v>459.11</v>
      </c>
      <c r="C105" s="28">
        <v>460.06</v>
      </c>
      <c r="D105" s="28">
        <v>459.5</v>
      </c>
      <c r="E105" s="28">
        <v>459.9</v>
      </c>
      <c r="F105" s="28">
        <v>459.3</v>
      </c>
      <c r="G105" s="28">
        <v>459.8</v>
      </c>
      <c r="H105" s="28">
        <v>459.4</v>
      </c>
      <c r="I105" s="28">
        <v>460.1</v>
      </c>
      <c r="J105" s="28">
        <v>460.57</v>
      </c>
      <c r="K105" s="28">
        <v>459.02</v>
      </c>
      <c r="L105" s="28">
        <v>458.89</v>
      </c>
      <c r="M105" s="28">
        <v>459.69</v>
      </c>
      <c r="N105" s="28">
        <v>460.23</v>
      </c>
      <c r="O105" s="28">
        <v>459.21</v>
      </c>
      <c r="P105" s="28">
        <v>459.48</v>
      </c>
      <c r="Q105" s="28">
        <v>458.83</v>
      </c>
      <c r="R105" s="28">
        <v>459.36</v>
      </c>
      <c r="S105" s="28">
        <v>459.6</v>
      </c>
      <c r="T105" s="28">
        <v>459</v>
      </c>
      <c r="U105" s="28">
        <v>459.1</v>
      </c>
      <c r="V105" s="28">
        <v>459.55</v>
      </c>
      <c r="W105" s="28">
        <v>459.6</v>
      </c>
      <c r="X105" s="28">
        <v>459.5</v>
      </c>
      <c r="Y105" s="28">
        <v>459.7</v>
      </c>
      <c r="Z105" s="28">
        <v>459.08</v>
      </c>
      <c r="AA105" s="28">
        <v>459.75</v>
      </c>
      <c r="AB105" s="28">
        <v>459.87</v>
      </c>
      <c r="AC105" s="28">
        <v>459.59</v>
      </c>
      <c r="AD105" s="28">
        <v>459.76</v>
      </c>
      <c r="AE105" s="28">
        <v>459.45</v>
      </c>
      <c r="AF105" s="28">
        <v>459.52</v>
      </c>
      <c r="AG105" s="28">
        <v>459.69</v>
      </c>
      <c r="AH105" s="28">
        <v>459.9</v>
      </c>
      <c r="AI105" s="28">
        <v>459.7</v>
      </c>
      <c r="AJ105" s="28">
        <v>459.73</v>
      </c>
      <c r="AK105" s="28">
        <v>460.2</v>
      </c>
      <c r="AL105" s="28">
        <v>459.71</v>
      </c>
      <c r="AM105" s="28">
        <v>460.12</v>
      </c>
      <c r="AN105" s="28">
        <v>460.1</v>
      </c>
      <c r="AO105" s="28">
        <v>460.14</v>
      </c>
      <c r="AP105" s="28">
        <v>461.17</v>
      </c>
      <c r="AQ105" s="28">
        <v>460.51</v>
      </c>
      <c r="AR105" s="28">
        <v>460.47</v>
      </c>
      <c r="AS105" s="28">
        <v>459.74</v>
      </c>
      <c r="AT105" s="28">
        <v>459.81</v>
      </c>
      <c r="AU105" s="28">
        <v>460.17</v>
      </c>
      <c r="AV105" s="28">
        <v>459.78</v>
      </c>
      <c r="AW105" s="28">
        <v>459.62</v>
      </c>
      <c r="AX105" s="28">
        <v>460.16</v>
      </c>
      <c r="AY105" s="28">
        <v>460.53</v>
      </c>
      <c r="AZ105" s="28">
        <v>460.49</v>
      </c>
      <c r="BA105" s="28">
        <v>460.02</v>
      </c>
      <c r="BB105" s="28">
        <v>459.47</v>
      </c>
      <c r="BC105" s="28">
        <v>459.7</v>
      </c>
      <c r="BD105" s="28">
        <v>459.74</v>
      </c>
      <c r="BE105" s="28">
        <v>459.25</v>
      </c>
      <c r="BF105" s="28">
        <v>459.88</v>
      </c>
      <c r="BG105" s="28">
        <v>460.03</v>
      </c>
      <c r="BH105" s="28">
        <v>460.53</v>
      </c>
      <c r="BI105" s="28">
        <v>460.25</v>
      </c>
      <c r="BJ105" s="28">
        <v>459.19</v>
      </c>
    </row>
    <row r="106" spans="1:62" x14ac:dyDescent="0.25">
      <c r="A106" s="28" t="s">
        <v>30</v>
      </c>
      <c r="B106" s="28" t="s">
        <v>31</v>
      </c>
      <c r="C106" s="28" t="s">
        <v>54</v>
      </c>
      <c r="D106" s="28" t="s">
        <v>55</v>
      </c>
      <c r="E106" s="28" t="s">
        <v>64</v>
      </c>
      <c r="F106" s="28" t="s">
        <v>65</v>
      </c>
      <c r="G106" s="28" t="s">
        <v>23</v>
      </c>
      <c r="H106" s="28">
        <v>62</v>
      </c>
    </row>
    <row r="107" spans="1:62" x14ac:dyDescent="0.25">
      <c r="A107" s="5">
        <v>46169</v>
      </c>
      <c r="B107" s="5">
        <v>46169</v>
      </c>
      <c r="C107" s="5">
        <v>46169</v>
      </c>
      <c r="D107" s="5">
        <v>46169</v>
      </c>
      <c r="E107" s="5">
        <v>46170</v>
      </c>
      <c r="F107" s="5">
        <v>46170</v>
      </c>
      <c r="G107" s="5">
        <v>46171</v>
      </c>
      <c r="H107" s="5">
        <v>46171</v>
      </c>
      <c r="I107" s="5">
        <v>46171</v>
      </c>
      <c r="J107" s="5">
        <v>46171</v>
      </c>
      <c r="K107" s="5">
        <v>46172</v>
      </c>
      <c r="L107" s="5">
        <v>46172</v>
      </c>
      <c r="M107" s="5">
        <v>46172</v>
      </c>
      <c r="N107" s="5">
        <v>46174</v>
      </c>
      <c r="O107" s="5">
        <v>46174</v>
      </c>
      <c r="P107" s="5">
        <v>46174</v>
      </c>
      <c r="Q107" s="5">
        <v>46174</v>
      </c>
      <c r="R107" s="5">
        <v>46175</v>
      </c>
      <c r="S107" s="5">
        <v>46175</v>
      </c>
      <c r="T107" s="5">
        <v>46175</v>
      </c>
      <c r="U107" s="5">
        <v>46176</v>
      </c>
      <c r="V107" s="5">
        <v>46176</v>
      </c>
      <c r="W107" s="5">
        <v>46176</v>
      </c>
      <c r="X107" s="5">
        <v>46176</v>
      </c>
      <c r="Y107" s="5">
        <v>46176</v>
      </c>
      <c r="Z107" s="5">
        <v>46176</v>
      </c>
      <c r="AA107" s="5">
        <v>46176</v>
      </c>
      <c r="AB107" s="5">
        <v>46177</v>
      </c>
      <c r="AC107" s="5">
        <v>46178</v>
      </c>
      <c r="AD107" s="5">
        <v>46178</v>
      </c>
      <c r="AE107" s="5">
        <v>46178</v>
      </c>
      <c r="AF107" s="5">
        <v>46179</v>
      </c>
      <c r="AG107" s="5">
        <v>46180</v>
      </c>
      <c r="AH107" s="5">
        <v>46180</v>
      </c>
      <c r="AI107" s="5">
        <v>46180</v>
      </c>
      <c r="AJ107" s="5">
        <v>46180</v>
      </c>
      <c r="AK107" s="5">
        <v>46181</v>
      </c>
      <c r="AL107" s="5">
        <v>46181</v>
      </c>
      <c r="AM107" s="5">
        <v>46181</v>
      </c>
      <c r="AN107" s="5">
        <v>46181</v>
      </c>
      <c r="AO107" s="5">
        <v>46181</v>
      </c>
      <c r="AP107" s="5">
        <v>46182</v>
      </c>
      <c r="AQ107" s="5">
        <v>46182</v>
      </c>
      <c r="AR107" s="5">
        <v>46182</v>
      </c>
      <c r="AS107" s="5">
        <v>46182</v>
      </c>
      <c r="AT107" s="5">
        <v>46182</v>
      </c>
      <c r="AU107" s="5">
        <v>46183</v>
      </c>
      <c r="AV107" s="5">
        <v>46183</v>
      </c>
      <c r="AW107" s="5">
        <v>46183</v>
      </c>
      <c r="AX107" s="5">
        <v>46183</v>
      </c>
      <c r="AY107" s="5">
        <v>46183</v>
      </c>
      <c r="AZ107" s="5">
        <v>46184</v>
      </c>
      <c r="BA107" s="5">
        <v>46184</v>
      </c>
      <c r="BB107" s="5">
        <v>46184</v>
      </c>
      <c r="BC107" s="5">
        <v>46184</v>
      </c>
      <c r="BD107" s="5">
        <v>46184</v>
      </c>
      <c r="BE107" s="5">
        <v>46185</v>
      </c>
      <c r="BF107" s="5">
        <v>46185</v>
      </c>
      <c r="BG107" s="5">
        <v>46185</v>
      </c>
      <c r="BH107" s="5">
        <v>46185</v>
      </c>
      <c r="BI107" s="5">
        <v>46186</v>
      </c>
      <c r="BJ107" s="5">
        <v>46186</v>
      </c>
    </row>
    <row r="108" spans="1:62" x14ac:dyDescent="0.25">
      <c r="A108" s="28">
        <v>816948</v>
      </c>
      <c r="B108" s="28">
        <v>816987</v>
      </c>
      <c r="C108" s="28">
        <v>816998</v>
      </c>
      <c r="D108" s="28">
        <v>817092</v>
      </c>
      <c r="E108" s="28">
        <v>817353</v>
      </c>
      <c r="F108" s="28">
        <v>817441</v>
      </c>
      <c r="G108" s="28">
        <v>817773</v>
      </c>
      <c r="H108" s="28">
        <v>817861</v>
      </c>
      <c r="I108" s="28">
        <v>817943</v>
      </c>
      <c r="J108" s="28">
        <v>817985</v>
      </c>
      <c r="K108" s="28">
        <v>818214</v>
      </c>
      <c r="L108" s="28">
        <v>818254</v>
      </c>
      <c r="M108" s="28">
        <v>818291</v>
      </c>
      <c r="N108" s="28">
        <v>818439</v>
      </c>
      <c r="O108" s="28">
        <v>818580</v>
      </c>
      <c r="P108" s="28">
        <v>818627</v>
      </c>
      <c r="Q108" s="28">
        <v>818667</v>
      </c>
      <c r="R108" s="28">
        <v>818839</v>
      </c>
      <c r="S108" s="28">
        <v>818934</v>
      </c>
      <c r="T108" s="28">
        <v>819019</v>
      </c>
      <c r="U108" s="28">
        <v>819103</v>
      </c>
      <c r="V108" s="28">
        <v>819271</v>
      </c>
      <c r="W108" s="28">
        <v>819315</v>
      </c>
      <c r="X108" s="28">
        <v>819370</v>
      </c>
      <c r="Y108" s="28">
        <v>819445</v>
      </c>
      <c r="Z108" s="28">
        <v>819491</v>
      </c>
      <c r="AA108" s="28">
        <v>819533</v>
      </c>
      <c r="AB108" s="28">
        <v>819706</v>
      </c>
      <c r="AC108" s="28">
        <v>819995</v>
      </c>
      <c r="AD108" s="28">
        <v>820041</v>
      </c>
      <c r="AE108" s="28">
        <v>820088</v>
      </c>
      <c r="AF108" s="28">
        <v>820271</v>
      </c>
      <c r="AG108" s="28">
        <v>820495</v>
      </c>
      <c r="AH108" s="28">
        <v>820568</v>
      </c>
      <c r="AI108" s="28">
        <v>820630</v>
      </c>
      <c r="AJ108" s="28">
        <v>820670</v>
      </c>
      <c r="AK108" s="28">
        <v>820873</v>
      </c>
      <c r="AL108" s="28">
        <v>820921</v>
      </c>
      <c r="AM108" s="28">
        <v>820957</v>
      </c>
      <c r="AN108" s="28">
        <v>821024</v>
      </c>
      <c r="AO108" s="28">
        <v>821060</v>
      </c>
      <c r="AP108" s="28">
        <v>821288</v>
      </c>
      <c r="AQ108" s="28">
        <v>821319</v>
      </c>
      <c r="AR108" s="28">
        <v>821356</v>
      </c>
      <c r="AS108" s="28">
        <v>821451</v>
      </c>
      <c r="AT108" s="28">
        <v>821500</v>
      </c>
      <c r="AU108" s="28">
        <v>821710</v>
      </c>
      <c r="AV108" s="28">
        <v>821754</v>
      </c>
      <c r="AW108" s="28">
        <v>821805</v>
      </c>
      <c r="AX108" s="28">
        <v>821885</v>
      </c>
      <c r="AY108" s="28">
        <v>821931</v>
      </c>
      <c r="AZ108" s="28">
        <v>822143</v>
      </c>
      <c r="BA108" s="28">
        <v>822185</v>
      </c>
      <c r="BB108" s="28">
        <v>822236</v>
      </c>
      <c r="BC108" s="28">
        <v>822306</v>
      </c>
      <c r="BD108" s="28">
        <v>822352</v>
      </c>
      <c r="BE108" s="28">
        <v>822558</v>
      </c>
      <c r="BF108" s="28">
        <v>822647</v>
      </c>
      <c r="BG108" s="28">
        <v>822737</v>
      </c>
      <c r="BH108" s="28">
        <v>822777</v>
      </c>
      <c r="BI108" s="28">
        <v>823003</v>
      </c>
      <c r="BJ108" s="28">
        <v>823082</v>
      </c>
    </row>
    <row r="109" spans="1:62" x14ac:dyDescent="0.25">
      <c r="A109" s="28">
        <v>1071.4000000000001</v>
      </c>
      <c r="B109" s="28">
        <v>1071.4000000000001</v>
      </c>
      <c r="C109" s="28">
        <v>1071.4000000000001</v>
      </c>
      <c r="D109" s="28">
        <v>1071.4000000000001</v>
      </c>
      <c r="E109" s="28">
        <v>1071.4000000000001</v>
      </c>
      <c r="F109" s="28">
        <v>1071.4000000000001</v>
      </c>
      <c r="G109" s="28">
        <v>1071.4000000000001</v>
      </c>
      <c r="H109" s="28">
        <v>1071.4000000000001</v>
      </c>
      <c r="I109" s="28">
        <v>1071.4000000000001</v>
      </c>
      <c r="J109" s="28">
        <v>1071.4000000000001</v>
      </c>
      <c r="K109" s="28">
        <v>1071.4000000000001</v>
      </c>
      <c r="L109" s="28">
        <v>1071.4000000000001</v>
      </c>
      <c r="M109" s="28">
        <v>1071.4000000000001</v>
      </c>
      <c r="N109" s="28">
        <v>1071.4000000000001</v>
      </c>
      <c r="O109" s="28">
        <v>1071.4000000000001</v>
      </c>
      <c r="P109" s="28">
        <v>1071.4000000000001</v>
      </c>
      <c r="Q109" s="28">
        <v>1071.4000000000001</v>
      </c>
      <c r="R109" s="28">
        <v>1071.4000000000001</v>
      </c>
      <c r="S109" s="28">
        <v>1071.4000000000001</v>
      </c>
      <c r="T109" s="28">
        <v>1071.4000000000001</v>
      </c>
      <c r="U109" s="28">
        <v>1071.4000000000001</v>
      </c>
      <c r="V109" s="28">
        <v>1071.4000000000001</v>
      </c>
      <c r="W109" s="28">
        <v>1071.4000000000001</v>
      </c>
      <c r="X109" s="28">
        <v>1071.4000000000001</v>
      </c>
      <c r="Y109" s="28">
        <v>1071.4000000000001</v>
      </c>
      <c r="Z109" s="28">
        <v>1071.4000000000001</v>
      </c>
      <c r="AA109" s="28">
        <v>1071.4000000000001</v>
      </c>
      <c r="AB109" s="28">
        <v>1071.4000000000001</v>
      </c>
      <c r="AC109" s="28">
        <v>1071.4000000000001</v>
      </c>
      <c r="AD109" s="28">
        <v>1071.4000000000001</v>
      </c>
      <c r="AE109" s="28">
        <v>1071.4000000000001</v>
      </c>
      <c r="AF109" s="28">
        <v>1071.4000000000001</v>
      </c>
      <c r="AG109" s="28">
        <v>1071.4000000000001</v>
      </c>
      <c r="AH109" s="28">
        <v>1071.4000000000001</v>
      </c>
      <c r="AI109" s="28">
        <v>1071.4000000000001</v>
      </c>
      <c r="AJ109" s="28">
        <v>1071.4000000000001</v>
      </c>
      <c r="AK109" s="28">
        <v>1071.4000000000001</v>
      </c>
      <c r="AL109" s="28">
        <v>1071.4000000000001</v>
      </c>
      <c r="AM109" s="28">
        <v>1071.4000000000001</v>
      </c>
      <c r="AN109" s="28">
        <v>1071.4000000000001</v>
      </c>
      <c r="AO109" s="28">
        <v>1071.4000000000001</v>
      </c>
      <c r="AP109" s="28">
        <v>1071.4000000000001</v>
      </c>
      <c r="AQ109" s="28">
        <v>1071.4000000000001</v>
      </c>
      <c r="AR109" s="28">
        <v>1071.4000000000001</v>
      </c>
      <c r="AS109" s="28">
        <v>1071.4000000000001</v>
      </c>
      <c r="AT109" s="28">
        <v>1071.4000000000001</v>
      </c>
      <c r="AU109" s="28">
        <v>1071.4000000000001</v>
      </c>
      <c r="AV109" s="28">
        <v>1071.4000000000001</v>
      </c>
      <c r="AW109" s="28">
        <v>1071.4000000000001</v>
      </c>
      <c r="AX109" s="28">
        <v>1071.4000000000001</v>
      </c>
      <c r="AY109" s="28">
        <v>1071.4000000000001</v>
      </c>
      <c r="AZ109" s="28">
        <v>1071.4000000000001</v>
      </c>
      <c r="BA109" s="28">
        <v>1071.4000000000001</v>
      </c>
      <c r="BB109" s="28">
        <v>1071.4000000000001</v>
      </c>
      <c r="BC109" s="28">
        <v>1071.4000000000001</v>
      </c>
      <c r="BD109" s="28">
        <v>1071.4000000000001</v>
      </c>
      <c r="BE109" s="28">
        <v>1071.4000000000001</v>
      </c>
      <c r="BF109" s="28">
        <v>1071.4000000000001</v>
      </c>
      <c r="BG109" s="28">
        <v>1071.4000000000001</v>
      </c>
      <c r="BH109" s="28">
        <v>1071.4000000000001</v>
      </c>
      <c r="BI109" s="28">
        <v>1071.4000000000001</v>
      </c>
      <c r="BJ109" s="28">
        <v>1071.4000000000001</v>
      </c>
    </row>
    <row r="110" spans="1:62" x14ac:dyDescent="0.25">
      <c r="A110" s="28">
        <v>1067.4000000000001</v>
      </c>
      <c r="B110" s="28">
        <v>1067.4000000000001</v>
      </c>
      <c r="C110" s="28">
        <v>1067.4000000000001</v>
      </c>
      <c r="D110" s="28">
        <v>1067.4000000000001</v>
      </c>
      <c r="E110" s="28">
        <v>1067.4000000000001</v>
      </c>
      <c r="F110" s="28">
        <v>1067.4000000000001</v>
      </c>
      <c r="G110" s="28">
        <v>1067.4000000000001</v>
      </c>
      <c r="H110" s="28">
        <v>1067.4000000000001</v>
      </c>
      <c r="I110" s="28">
        <v>1067.4000000000001</v>
      </c>
      <c r="J110" s="28">
        <v>1067.4000000000001</v>
      </c>
      <c r="K110" s="28">
        <v>1067.4000000000001</v>
      </c>
      <c r="L110" s="28">
        <v>1067.4000000000001</v>
      </c>
      <c r="M110" s="28">
        <v>1067.4000000000001</v>
      </c>
      <c r="N110" s="28">
        <v>1067.4000000000001</v>
      </c>
      <c r="O110" s="28">
        <v>1067.4000000000001</v>
      </c>
      <c r="P110" s="28">
        <v>1067.4000000000001</v>
      </c>
      <c r="Q110" s="28">
        <v>1067.4000000000001</v>
      </c>
      <c r="R110" s="28">
        <v>1067.4000000000001</v>
      </c>
      <c r="S110" s="28">
        <v>1067.4000000000001</v>
      </c>
      <c r="T110" s="28">
        <v>1067.4000000000001</v>
      </c>
      <c r="U110" s="28">
        <v>1067.4000000000001</v>
      </c>
      <c r="V110" s="28">
        <v>1067.4000000000001</v>
      </c>
      <c r="W110" s="28">
        <v>1067.4000000000001</v>
      </c>
      <c r="X110" s="28">
        <v>1067.4000000000001</v>
      </c>
      <c r="Y110" s="28">
        <v>1067.4000000000001</v>
      </c>
      <c r="Z110" s="28">
        <v>1067.4000000000001</v>
      </c>
      <c r="AA110" s="28">
        <v>1067.4000000000001</v>
      </c>
      <c r="AB110" s="28">
        <v>1067.4000000000001</v>
      </c>
      <c r="AC110" s="28">
        <v>1067.4000000000001</v>
      </c>
      <c r="AD110" s="28">
        <v>1067.4000000000001</v>
      </c>
      <c r="AE110" s="28">
        <v>1067.4000000000001</v>
      </c>
      <c r="AF110" s="28">
        <v>1067.4000000000001</v>
      </c>
      <c r="AG110" s="28">
        <v>1067.4000000000001</v>
      </c>
      <c r="AH110" s="28">
        <v>1067.4000000000001</v>
      </c>
      <c r="AI110" s="28">
        <v>1067.4000000000001</v>
      </c>
      <c r="AJ110" s="28">
        <v>1067.4000000000001</v>
      </c>
      <c r="AK110" s="28">
        <v>1067.4000000000001</v>
      </c>
      <c r="AL110" s="28">
        <v>1067.4000000000001</v>
      </c>
      <c r="AM110" s="28">
        <v>1067.4000000000001</v>
      </c>
      <c r="AN110" s="28">
        <v>1067.4000000000001</v>
      </c>
      <c r="AO110" s="28">
        <v>1067.4000000000001</v>
      </c>
      <c r="AP110" s="28">
        <v>1067.4000000000001</v>
      </c>
      <c r="AQ110" s="28">
        <v>1067.4000000000001</v>
      </c>
      <c r="AR110" s="28">
        <v>1067.4000000000001</v>
      </c>
      <c r="AS110" s="28">
        <v>1067.4000000000001</v>
      </c>
      <c r="AT110" s="28">
        <v>1067.4000000000001</v>
      </c>
      <c r="AU110" s="28">
        <v>1067.4000000000001</v>
      </c>
      <c r="AV110" s="28">
        <v>1067.4000000000001</v>
      </c>
      <c r="AW110" s="28">
        <v>1067.4000000000001</v>
      </c>
      <c r="AX110" s="28">
        <v>1067.4000000000001</v>
      </c>
      <c r="AY110" s="28">
        <v>1067.4000000000001</v>
      </c>
      <c r="AZ110" s="28">
        <v>1067.4000000000001</v>
      </c>
      <c r="BA110" s="28">
        <v>1067.4000000000001</v>
      </c>
      <c r="BB110" s="28">
        <v>1067.4000000000001</v>
      </c>
      <c r="BC110" s="28">
        <v>1067.4000000000001</v>
      </c>
      <c r="BD110" s="28">
        <v>1067.4000000000001</v>
      </c>
      <c r="BE110" s="28">
        <v>1067.4000000000001</v>
      </c>
      <c r="BF110" s="28">
        <v>1067.4000000000001</v>
      </c>
      <c r="BG110" s="28">
        <v>1067.4000000000001</v>
      </c>
      <c r="BH110" s="28">
        <v>1067.4000000000001</v>
      </c>
      <c r="BI110" s="28">
        <v>1067.4000000000001</v>
      </c>
      <c r="BJ110" s="28">
        <v>1067.4000000000001</v>
      </c>
    </row>
    <row r="111" spans="1:62" x14ac:dyDescent="0.25">
      <c r="A111" s="28">
        <v>1075.4000000000001</v>
      </c>
      <c r="B111" s="28">
        <v>1075.4000000000001</v>
      </c>
      <c r="C111" s="28">
        <v>1075.4000000000001</v>
      </c>
      <c r="D111" s="28">
        <v>1075.4000000000001</v>
      </c>
      <c r="E111" s="28">
        <v>1075.4000000000001</v>
      </c>
      <c r="F111" s="28">
        <v>1075.4000000000001</v>
      </c>
      <c r="G111" s="28">
        <v>1075.4000000000001</v>
      </c>
      <c r="H111" s="28">
        <v>1075.4000000000001</v>
      </c>
      <c r="I111" s="28">
        <v>1075.4000000000001</v>
      </c>
      <c r="J111" s="28">
        <v>1075.4000000000001</v>
      </c>
      <c r="K111" s="28">
        <v>1075.4000000000001</v>
      </c>
      <c r="L111" s="28">
        <v>1075.4000000000001</v>
      </c>
      <c r="M111" s="28">
        <v>1075.4000000000001</v>
      </c>
      <c r="N111" s="28">
        <v>1075.4000000000001</v>
      </c>
      <c r="O111" s="28">
        <v>1075.4000000000001</v>
      </c>
      <c r="P111" s="28">
        <v>1075.4000000000001</v>
      </c>
      <c r="Q111" s="28">
        <v>1075.4000000000001</v>
      </c>
      <c r="R111" s="28">
        <v>1075.4000000000001</v>
      </c>
      <c r="S111" s="28">
        <v>1075.4000000000001</v>
      </c>
      <c r="T111" s="28">
        <v>1075.4000000000001</v>
      </c>
      <c r="U111" s="28">
        <v>1075.4000000000001</v>
      </c>
      <c r="V111" s="28">
        <v>1075.4000000000001</v>
      </c>
      <c r="W111" s="28">
        <v>1075.4000000000001</v>
      </c>
      <c r="X111" s="28">
        <v>1075.4000000000001</v>
      </c>
      <c r="Y111" s="28">
        <v>1075.4000000000001</v>
      </c>
      <c r="Z111" s="28">
        <v>1075.4000000000001</v>
      </c>
      <c r="AA111" s="28">
        <v>1075.4000000000001</v>
      </c>
      <c r="AB111" s="28">
        <v>1075.4000000000001</v>
      </c>
      <c r="AC111" s="28">
        <v>1075.4000000000001</v>
      </c>
      <c r="AD111" s="28">
        <v>1075.4000000000001</v>
      </c>
      <c r="AE111" s="28">
        <v>1075.4000000000001</v>
      </c>
      <c r="AF111" s="28">
        <v>1075.4000000000001</v>
      </c>
      <c r="AG111" s="28">
        <v>1075.4000000000001</v>
      </c>
      <c r="AH111" s="28">
        <v>1075.4000000000001</v>
      </c>
      <c r="AI111" s="28">
        <v>1075.4000000000001</v>
      </c>
      <c r="AJ111" s="28">
        <v>1075.4000000000001</v>
      </c>
      <c r="AK111" s="28">
        <v>1075.4000000000001</v>
      </c>
      <c r="AL111" s="28">
        <v>1075.4000000000001</v>
      </c>
      <c r="AM111" s="28">
        <v>1075.4000000000001</v>
      </c>
      <c r="AN111" s="28">
        <v>1075.4000000000001</v>
      </c>
      <c r="AO111" s="28">
        <v>1075.4000000000001</v>
      </c>
      <c r="AP111" s="28">
        <v>1075.4000000000001</v>
      </c>
      <c r="AQ111" s="28">
        <v>1075.4000000000001</v>
      </c>
      <c r="AR111" s="28">
        <v>1075.4000000000001</v>
      </c>
      <c r="AS111" s="28">
        <v>1075.4000000000001</v>
      </c>
      <c r="AT111" s="28">
        <v>1075.4000000000001</v>
      </c>
      <c r="AU111" s="28">
        <v>1075.4000000000001</v>
      </c>
      <c r="AV111" s="28">
        <v>1075.4000000000001</v>
      </c>
      <c r="AW111" s="28">
        <v>1075.4000000000001</v>
      </c>
      <c r="AX111" s="28">
        <v>1075.4000000000001</v>
      </c>
      <c r="AY111" s="28">
        <v>1075.4000000000001</v>
      </c>
      <c r="AZ111" s="28">
        <v>1075.4000000000001</v>
      </c>
      <c r="BA111" s="28">
        <v>1075.4000000000001</v>
      </c>
      <c r="BB111" s="28">
        <v>1075.4000000000001</v>
      </c>
      <c r="BC111" s="28">
        <v>1075.4000000000001</v>
      </c>
      <c r="BD111" s="28">
        <v>1075.4000000000001</v>
      </c>
      <c r="BE111" s="28">
        <v>1075.4000000000001</v>
      </c>
      <c r="BF111" s="28">
        <v>1075.4000000000001</v>
      </c>
      <c r="BG111" s="28">
        <v>1075.4000000000001</v>
      </c>
      <c r="BH111" s="28">
        <v>1075.4000000000001</v>
      </c>
      <c r="BI111" s="28">
        <v>1075.4000000000001</v>
      </c>
      <c r="BJ111" s="28">
        <v>1075.4000000000001</v>
      </c>
    </row>
    <row r="112" spans="1:62" x14ac:dyDescent="0.25">
      <c r="A112" s="28">
        <v>1069.8599999999999</v>
      </c>
      <c r="B112" s="28">
        <v>1070.52</v>
      </c>
      <c r="C112" s="28">
        <v>1070.2</v>
      </c>
      <c r="D112" s="28">
        <v>1071</v>
      </c>
      <c r="E112" s="28">
        <v>1069.9000000000001</v>
      </c>
      <c r="F112" s="28">
        <v>1070.5999999999999</v>
      </c>
      <c r="G112" s="28">
        <v>1069.0999999999999</v>
      </c>
      <c r="H112" s="28">
        <v>1070.7</v>
      </c>
      <c r="I112" s="28">
        <v>1070.5999999999999</v>
      </c>
      <c r="J112" s="28">
        <v>1070.69</v>
      </c>
      <c r="K112" s="28">
        <v>1070.25</v>
      </c>
      <c r="L112" s="28">
        <v>1070.74</v>
      </c>
      <c r="M112" s="28">
        <v>1070.43</v>
      </c>
      <c r="N112" s="28">
        <v>1070.06</v>
      </c>
      <c r="O112" s="28">
        <v>1070.1199999999999</v>
      </c>
      <c r="P112" s="28">
        <v>1070.31</v>
      </c>
      <c r="Q112" s="28">
        <v>1070.3</v>
      </c>
      <c r="R112" s="28">
        <v>1070.54</v>
      </c>
      <c r="S112" s="28">
        <v>1070</v>
      </c>
      <c r="T112" s="28">
        <v>1070.9000000000001</v>
      </c>
      <c r="U112" s="28">
        <v>1071.0999999999999</v>
      </c>
      <c r="V112" s="28">
        <v>1069.68</v>
      </c>
      <c r="W112" s="28">
        <v>1070.4000000000001</v>
      </c>
      <c r="X112" s="28">
        <v>1070.8</v>
      </c>
      <c r="Y112" s="28">
        <v>1070.7</v>
      </c>
      <c r="Z112" s="28">
        <v>1070.4000000000001</v>
      </c>
      <c r="AA112" s="28">
        <v>1070.53</v>
      </c>
      <c r="AB112" s="28">
        <v>1070.43</v>
      </c>
      <c r="AC112" s="28">
        <v>1070.5999999999999</v>
      </c>
      <c r="AD112" s="28">
        <v>1070.68</v>
      </c>
      <c r="AE112" s="28">
        <v>1070.55</v>
      </c>
      <c r="AF112" s="28">
        <v>1070.5</v>
      </c>
      <c r="AG112" s="28">
        <v>1069.98</v>
      </c>
      <c r="AH112" s="28">
        <v>1070.58</v>
      </c>
      <c r="AI112" s="28">
        <v>1070.5</v>
      </c>
      <c r="AJ112" s="28">
        <v>1070.3800000000001</v>
      </c>
      <c r="AK112" s="28">
        <v>1069.96</v>
      </c>
      <c r="AL112" s="28">
        <v>1070.3599999999999</v>
      </c>
      <c r="AM112" s="28">
        <v>1069.98</v>
      </c>
      <c r="AN112" s="28">
        <v>1070.03</v>
      </c>
      <c r="AO112" s="28">
        <v>1070.43</v>
      </c>
      <c r="AP112" s="28">
        <v>1070.4100000000001</v>
      </c>
      <c r="AQ112" s="28">
        <v>1070.6600000000001</v>
      </c>
      <c r="AR112" s="28">
        <v>1070.93</v>
      </c>
      <c r="AS112" s="28">
        <v>1070.72</v>
      </c>
      <c r="AT112" s="28">
        <v>1071</v>
      </c>
      <c r="AU112" s="28">
        <v>1069.8800000000001</v>
      </c>
      <c r="AV112" s="28">
        <v>1070.5999999999999</v>
      </c>
      <c r="AW112" s="28">
        <v>1070.5</v>
      </c>
      <c r="AX112" s="28">
        <v>1070.43</v>
      </c>
      <c r="AY112" s="28">
        <v>1070.67</v>
      </c>
      <c r="AZ112" s="28">
        <v>1070.04</v>
      </c>
      <c r="BA112" s="28">
        <v>1070.47</v>
      </c>
      <c r="BB112" s="28">
        <v>1070.78</v>
      </c>
      <c r="BC112" s="28">
        <v>1070.73</v>
      </c>
      <c r="BD112" s="28">
        <v>1070.8499999999999</v>
      </c>
      <c r="BE112" s="28">
        <v>1071.31</v>
      </c>
      <c r="BF112" s="28">
        <v>1070.8</v>
      </c>
      <c r="BG112" s="28">
        <v>1070.05</v>
      </c>
      <c r="BH112" s="28">
        <v>1070.23</v>
      </c>
      <c r="BI112" s="28">
        <v>1070.1199999999999</v>
      </c>
      <c r="BJ112" s="28">
        <v>1070.49</v>
      </c>
    </row>
    <row r="113" spans="1:62" x14ac:dyDescent="0.25">
      <c r="A113" s="28" t="s">
        <v>30</v>
      </c>
      <c r="B113" s="28" t="s">
        <v>31</v>
      </c>
      <c r="C113" s="28" t="s">
        <v>54</v>
      </c>
      <c r="D113" s="28" t="s">
        <v>55</v>
      </c>
      <c r="E113" s="28" t="s">
        <v>66</v>
      </c>
      <c r="F113" s="28" t="s">
        <v>67</v>
      </c>
      <c r="G113" s="28" t="s">
        <v>24</v>
      </c>
      <c r="H113" s="28">
        <v>62</v>
      </c>
    </row>
    <row r="114" spans="1:62" x14ac:dyDescent="0.25">
      <c r="A114" s="5">
        <v>46169</v>
      </c>
      <c r="B114" s="5">
        <v>46169</v>
      </c>
      <c r="C114" s="5">
        <v>46169</v>
      </c>
      <c r="D114" s="5">
        <v>46169</v>
      </c>
      <c r="E114" s="5">
        <v>46170</v>
      </c>
      <c r="F114" s="5">
        <v>46170</v>
      </c>
      <c r="G114" s="5">
        <v>46171</v>
      </c>
      <c r="H114" s="5">
        <v>46171</v>
      </c>
      <c r="I114" s="5">
        <v>46171</v>
      </c>
      <c r="J114" s="5">
        <v>46171</v>
      </c>
      <c r="K114" s="5">
        <v>46172</v>
      </c>
      <c r="L114" s="5">
        <v>46172</v>
      </c>
      <c r="M114" s="5">
        <v>46172</v>
      </c>
      <c r="N114" s="5">
        <v>46174</v>
      </c>
      <c r="O114" s="5">
        <v>46174</v>
      </c>
      <c r="P114" s="5">
        <v>46174</v>
      </c>
      <c r="Q114" s="5">
        <v>46174</v>
      </c>
      <c r="R114" s="5">
        <v>46175</v>
      </c>
      <c r="S114" s="5">
        <v>46175</v>
      </c>
      <c r="T114" s="5">
        <v>46175</v>
      </c>
      <c r="U114" s="5">
        <v>46176</v>
      </c>
      <c r="V114" s="5">
        <v>46176</v>
      </c>
      <c r="W114" s="5">
        <v>46176</v>
      </c>
      <c r="X114" s="5">
        <v>46176</v>
      </c>
      <c r="Y114" s="5">
        <v>46176</v>
      </c>
      <c r="Z114" s="5">
        <v>46176</v>
      </c>
      <c r="AA114" s="5">
        <v>46176</v>
      </c>
      <c r="AB114" s="5">
        <v>46177</v>
      </c>
      <c r="AC114" s="5">
        <v>46178</v>
      </c>
      <c r="AD114" s="5">
        <v>46178</v>
      </c>
      <c r="AE114" s="5">
        <v>46178</v>
      </c>
      <c r="AF114" s="5">
        <v>46179</v>
      </c>
      <c r="AG114" s="5">
        <v>46180</v>
      </c>
      <c r="AH114" s="5">
        <v>46180</v>
      </c>
      <c r="AI114" s="5">
        <v>46180</v>
      </c>
      <c r="AJ114" s="5">
        <v>46180</v>
      </c>
      <c r="AK114" s="5">
        <v>46181</v>
      </c>
      <c r="AL114" s="5">
        <v>46181</v>
      </c>
      <c r="AM114" s="5">
        <v>46181</v>
      </c>
      <c r="AN114" s="5">
        <v>46181</v>
      </c>
      <c r="AO114" s="5">
        <v>46181</v>
      </c>
      <c r="AP114" s="5">
        <v>46182</v>
      </c>
      <c r="AQ114" s="5">
        <v>46182</v>
      </c>
      <c r="AR114" s="5">
        <v>46182</v>
      </c>
      <c r="AS114" s="5">
        <v>46182</v>
      </c>
      <c r="AT114" s="5">
        <v>46182</v>
      </c>
      <c r="AU114" s="5">
        <v>46183</v>
      </c>
      <c r="AV114" s="5">
        <v>46183</v>
      </c>
      <c r="AW114" s="5">
        <v>46183</v>
      </c>
      <c r="AX114" s="5">
        <v>46183</v>
      </c>
      <c r="AY114" s="5">
        <v>46183</v>
      </c>
      <c r="AZ114" s="5">
        <v>46184</v>
      </c>
      <c r="BA114" s="5">
        <v>46184</v>
      </c>
      <c r="BB114" s="5">
        <v>46184</v>
      </c>
      <c r="BC114" s="5">
        <v>46184</v>
      </c>
      <c r="BD114" s="5">
        <v>46184</v>
      </c>
      <c r="BE114" s="5">
        <v>46185</v>
      </c>
      <c r="BF114" s="5">
        <v>46185</v>
      </c>
      <c r="BG114" s="5">
        <v>46185</v>
      </c>
      <c r="BH114" s="5">
        <v>46185</v>
      </c>
      <c r="BI114" s="5">
        <v>46186</v>
      </c>
      <c r="BJ114" s="5">
        <v>46186</v>
      </c>
    </row>
    <row r="115" spans="1:62" x14ac:dyDescent="0.25">
      <c r="A115" s="28">
        <v>816948</v>
      </c>
      <c r="B115" s="28">
        <v>816987</v>
      </c>
      <c r="C115" s="28">
        <v>816998</v>
      </c>
      <c r="D115" s="28">
        <v>817092</v>
      </c>
      <c r="E115" s="28">
        <v>817353</v>
      </c>
      <c r="F115" s="28">
        <v>817441</v>
      </c>
      <c r="G115" s="28">
        <v>817773</v>
      </c>
      <c r="H115" s="28">
        <v>817861</v>
      </c>
      <c r="I115" s="28">
        <v>817943</v>
      </c>
      <c r="J115" s="28">
        <v>817985</v>
      </c>
      <c r="K115" s="28">
        <v>818214</v>
      </c>
      <c r="L115" s="28">
        <v>818254</v>
      </c>
      <c r="M115" s="28">
        <v>818291</v>
      </c>
      <c r="N115" s="28">
        <v>818439</v>
      </c>
      <c r="O115" s="28">
        <v>818580</v>
      </c>
      <c r="P115" s="28">
        <v>818627</v>
      </c>
      <c r="Q115" s="28">
        <v>818667</v>
      </c>
      <c r="R115" s="28">
        <v>818839</v>
      </c>
      <c r="S115" s="28">
        <v>818934</v>
      </c>
      <c r="T115" s="28">
        <v>819019</v>
      </c>
      <c r="U115" s="28">
        <v>819103</v>
      </c>
      <c r="V115" s="28">
        <v>819271</v>
      </c>
      <c r="W115" s="28">
        <v>819315</v>
      </c>
      <c r="X115" s="28">
        <v>819370</v>
      </c>
      <c r="Y115" s="28">
        <v>819445</v>
      </c>
      <c r="Z115" s="28">
        <v>819491</v>
      </c>
      <c r="AA115" s="28">
        <v>819533</v>
      </c>
      <c r="AB115" s="28">
        <v>819706</v>
      </c>
      <c r="AC115" s="28">
        <v>819995</v>
      </c>
      <c r="AD115" s="28">
        <v>820041</v>
      </c>
      <c r="AE115" s="28">
        <v>820088</v>
      </c>
      <c r="AF115" s="28">
        <v>820271</v>
      </c>
      <c r="AG115" s="28">
        <v>820495</v>
      </c>
      <c r="AH115" s="28">
        <v>820568</v>
      </c>
      <c r="AI115" s="28">
        <v>820630</v>
      </c>
      <c r="AJ115" s="28">
        <v>820670</v>
      </c>
      <c r="AK115" s="28">
        <v>820873</v>
      </c>
      <c r="AL115" s="28">
        <v>820921</v>
      </c>
      <c r="AM115" s="28">
        <v>820957</v>
      </c>
      <c r="AN115" s="28">
        <v>821024</v>
      </c>
      <c r="AO115" s="28">
        <v>821060</v>
      </c>
      <c r="AP115" s="28">
        <v>821288</v>
      </c>
      <c r="AQ115" s="28">
        <v>821319</v>
      </c>
      <c r="AR115" s="28">
        <v>821356</v>
      </c>
      <c r="AS115" s="28">
        <v>821451</v>
      </c>
      <c r="AT115" s="28">
        <v>821500</v>
      </c>
      <c r="AU115" s="28">
        <v>821710</v>
      </c>
      <c r="AV115" s="28">
        <v>821754</v>
      </c>
      <c r="AW115" s="28">
        <v>821805</v>
      </c>
      <c r="AX115" s="28">
        <v>821885</v>
      </c>
      <c r="AY115" s="28">
        <v>821931</v>
      </c>
      <c r="AZ115" s="28">
        <v>822143</v>
      </c>
      <c r="BA115" s="28">
        <v>822185</v>
      </c>
      <c r="BB115" s="28">
        <v>822236</v>
      </c>
      <c r="BC115" s="28">
        <v>822306</v>
      </c>
      <c r="BD115" s="28">
        <v>822352</v>
      </c>
      <c r="BE115" s="28">
        <v>822558</v>
      </c>
      <c r="BF115" s="28">
        <v>822647</v>
      </c>
      <c r="BG115" s="28">
        <v>822737</v>
      </c>
      <c r="BH115" s="28">
        <v>822777</v>
      </c>
      <c r="BI115" s="28">
        <v>823003</v>
      </c>
      <c r="BJ115" s="28">
        <v>823082</v>
      </c>
    </row>
    <row r="116" spans="1:62" x14ac:dyDescent="0.25">
      <c r="A116" s="28">
        <v>1527.1</v>
      </c>
      <c r="B116" s="28">
        <v>1527.1</v>
      </c>
      <c r="C116" s="28">
        <v>1527.1</v>
      </c>
      <c r="D116" s="28">
        <v>1527.1</v>
      </c>
      <c r="E116" s="28">
        <v>1527.1</v>
      </c>
      <c r="F116" s="28">
        <v>1527.1</v>
      </c>
      <c r="G116" s="28">
        <v>1527.1</v>
      </c>
      <c r="H116" s="28">
        <v>1527.1</v>
      </c>
      <c r="I116" s="28">
        <v>1527.1</v>
      </c>
      <c r="J116" s="28">
        <v>1527.1</v>
      </c>
      <c r="K116" s="28">
        <v>1527.1</v>
      </c>
      <c r="L116" s="28">
        <v>1527.1</v>
      </c>
      <c r="M116" s="28">
        <v>1527.1</v>
      </c>
      <c r="N116" s="28">
        <v>1527.1</v>
      </c>
      <c r="O116" s="28">
        <v>1527.1</v>
      </c>
      <c r="P116" s="28">
        <v>1527.1</v>
      </c>
      <c r="Q116" s="28">
        <v>1527.1</v>
      </c>
      <c r="R116" s="28">
        <v>1527.1</v>
      </c>
      <c r="S116" s="28">
        <v>1527.1</v>
      </c>
      <c r="T116" s="28">
        <v>1527.1</v>
      </c>
      <c r="U116" s="28">
        <v>1527.1</v>
      </c>
      <c r="V116" s="28">
        <v>1527.1</v>
      </c>
      <c r="W116" s="28">
        <v>1527.1</v>
      </c>
      <c r="X116" s="28">
        <v>1527.1</v>
      </c>
      <c r="Y116" s="28">
        <v>1527.1</v>
      </c>
      <c r="Z116" s="28">
        <v>1527.1</v>
      </c>
      <c r="AA116" s="28">
        <v>1527.1</v>
      </c>
      <c r="AB116" s="28">
        <v>1527.1</v>
      </c>
      <c r="AC116" s="28">
        <v>1527.1</v>
      </c>
      <c r="AD116" s="28">
        <v>1527.1</v>
      </c>
      <c r="AE116" s="28">
        <v>1527.1</v>
      </c>
      <c r="AF116" s="28">
        <v>1527.1</v>
      </c>
      <c r="AG116" s="28">
        <v>1527.1</v>
      </c>
      <c r="AH116" s="28">
        <v>1527.1</v>
      </c>
      <c r="AI116" s="28">
        <v>1527.1</v>
      </c>
      <c r="AJ116" s="28">
        <v>1527.1</v>
      </c>
      <c r="AK116" s="28">
        <v>1527.1</v>
      </c>
      <c r="AL116" s="28">
        <v>1527.1</v>
      </c>
      <c r="AM116" s="28">
        <v>1527.1</v>
      </c>
      <c r="AN116" s="28">
        <v>1527.1</v>
      </c>
      <c r="AO116" s="28">
        <v>1527.1</v>
      </c>
      <c r="AP116" s="28">
        <v>1527.1</v>
      </c>
      <c r="AQ116" s="28">
        <v>1527.1</v>
      </c>
      <c r="AR116" s="28">
        <v>1527.1</v>
      </c>
      <c r="AS116" s="28">
        <v>1527.1</v>
      </c>
      <c r="AT116" s="28">
        <v>1527.1</v>
      </c>
      <c r="AU116" s="28">
        <v>1527.1</v>
      </c>
      <c r="AV116" s="28">
        <v>1527.1</v>
      </c>
      <c r="AW116" s="28">
        <v>1527.1</v>
      </c>
      <c r="AX116" s="28">
        <v>1527.1</v>
      </c>
      <c r="AY116" s="28">
        <v>1527.1</v>
      </c>
      <c r="AZ116" s="28">
        <v>1527.1</v>
      </c>
      <c r="BA116" s="28">
        <v>1527.1</v>
      </c>
      <c r="BB116" s="28">
        <v>1527.1</v>
      </c>
      <c r="BC116" s="28">
        <v>1527.1</v>
      </c>
      <c r="BD116" s="28">
        <v>1527.1</v>
      </c>
      <c r="BE116" s="28">
        <v>1527.1</v>
      </c>
      <c r="BF116" s="28">
        <v>1527.1</v>
      </c>
      <c r="BG116" s="28">
        <v>1527.1</v>
      </c>
      <c r="BH116" s="28">
        <v>1527.1</v>
      </c>
      <c r="BI116" s="28">
        <v>1527.1</v>
      </c>
      <c r="BJ116" s="28">
        <v>1527.1</v>
      </c>
    </row>
    <row r="117" spans="1:62" x14ac:dyDescent="0.25">
      <c r="A117" s="28">
        <v>1523.1</v>
      </c>
      <c r="B117" s="28">
        <v>1523.1</v>
      </c>
      <c r="C117" s="28">
        <v>1523.1</v>
      </c>
      <c r="D117" s="28">
        <v>1523.1</v>
      </c>
      <c r="E117" s="28">
        <v>1523.1</v>
      </c>
      <c r="F117" s="28">
        <v>1523.1</v>
      </c>
      <c r="G117" s="28">
        <v>1523.1</v>
      </c>
      <c r="H117" s="28">
        <v>1523.1</v>
      </c>
      <c r="I117" s="28">
        <v>1523.1</v>
      </c>
      <c r="J117" s="28">
        <v>1523.1</v>
      </c>
      <c r="K117" s="28">
        <v>1523.1</v>
      </c>
      <c r="L117" s="28">
        <v>1523.1</v>
      </c>
      <c r="M117" s="28">
        <v>1523.1</v>
      </c>
      <c r="N117" s="28">
        <v>1523.1</v>
      </c>
      <c r="O117" s="28">
        <v>1523.1</v>
      </c>
      <c r="P117" s="28">
        <v>1523.1</v>
      </c>
      <c r="Q117" s="28">
        <v>1523.1</v>
      </c>
      <c r="R117" s="28">
        <v>1523.1</v>
      </c>
      <c r="S117" s="28">
        <v>1523.1</v>
      </c>
      <c r="T117" s="28">
        <v>1523.1</v>
      </c>
      <c r="U117" s="28">
        <v>1523.1</v>
      </c>
      <c r="V117" s="28">
        <v>1523.1</v>
      </c>
      <c r="W117" s="28">
        <v>1523.1</v>
      </c>
      <c r="X117" s="28">
        <v>1523.1</v>
      </c>
      <c r="Y117" s="28">
        <v>1523.1</v>
      </c>
      <c r="Z117" s="28">
        <v>1523.1</v>
      </c>
      <c r="AA117" s="28">
        <v>1523.1</v>
      </c>
      <c r="AB117" s="28">
        <v>1523.1</v>
      </c>
      <c r="AC117" s="28">
        <v>1523.1</v>
      </c>
      <c r="AD117" s="28">
        <v>1523.1</v>
      </c>
      <c r="AE117" s="28">
        <v>1523.1</v>
      </c>
      <c r="AF117" s="28">
        <v>1523.1</v>
      </c>
      <c r="AG117" s="28">
        <v>1523.1</v>
      </c>
      <c r="AH117" s="28">
        <v>1523.1</v>
      </c>
      <c r="AI117" s="28">
        <v>1523.1</v>
      </c>
      <c r="AJ117" s="28">
        <v>1523.1</v>
      </c>
      <c r="AK117" s="28">
        <v>1523.1</v>
      </c>
      <c r="AL117" s="28">
        <v>1523.1</v>
      </c>
      <c r="AM117" s="28">
        <v>1523.1</v>
      </c>
      <c r="AN117" s="28">
        <v>1523.1</v>
      </c>
      <c r="AO117" s="28">
        <v>1523.1</v>
      </c>
      <c r="AP117" s="28">
        <v>1523.1</v>
      </c>
      <c r="AQ117" s="28">
        <v>1523.1</v>
      </c>
      <c r="AR117" s="28">
        <v>1523.1</v>
      </c>
      <c r="AS117" s="28">
        <v>1523.1</v>
      </c>
      <c r="AT117" s="28">
        <v>1523.1</v>
      </c>
      <c r="AU117" s="28">
        <v>1523.1</v>
      </c>
      <c r="AV117" s="28">
        <v>1523.1</v>
      </c>
      <c r="AW117" s="28">
        <v>1523.1</v>
      </c>
      <c r="AX117" s="28">
        <v>1523.1</v>
      </c>
      <c r="AY117" s="28">
        <v>1523.1</v>
      </c>
      <c r="AZ117" s="28">
        <v>1523.1</v>
      </c>
      <c r="BA117" s="28">
        <v>1523.1</v>
      </c>
      <c r="BB117" s="28">
        <v>1523.1</v>
      </c>
      <c r="BC117" s="28">
        <v>1523.1</v>
      </c>
      <c r="BD117" s="28">
        <v>1523.1</v>
      </c>
      <c r="BE117" s="28">
        <v>1523.1</v>
      </c>
      <c r="BF117" s="28">
        <v>1523.1</v>
      </c>
      <c r="BG117" s="28">
        <v>1523.1</v>
      </c>
      <c r="BH117" s="28">
        <v>1523.1</v>
      </c>
      <c r="BI117" s="28">
        <v>1523.1</v>
      </c>
      <c r="BJ117" s="28">
        <v>1523.1</v>
      </c>
    </row>
    <row r="118" spans="1:62" x14ac:dyDescent="0.25">
      <c r="A118" s="28">
        <v>1531.1</v>
      </c>
      <c r="B118" s="28">
        <v>1531.1</v>
      </c>
      <c r="C118" s="28">
        <v>1531.1</v>
      </c>
      <c r="D118" s="28">
        <v>1531.1</v>
      </c>
      <c r="E118" s="28">
        <v>1531.1</v>
      </c>
      <c r="F118" s="28">
        <v>1531.1</v>
      </c>
      <c r="G118" s="28">
        <v>1531.1</v>
      </c>
      <c r="H118" s="28">
        <v>1531.1</v>
      </c>
      <c r="I118" s="28">
        <v>1531.1</v>
      </c>
      <c r="J118" s="28">
        <v>1531.1</v>
      </c>
      <c r="K118" s="28">
        <v>1531.1</v>
      </c>
      <c r="L118" s="28">
        <v>1531.1</v>
      </c>
      <c r="M118" s="28">
        <v>1531.1</v>
      </c>
      <c r="N118" s="28">
        <v>1531.1</v>
      </c>
      <c r="O118" s="28">
        <v>1531.1</v>
      </c>
      <c r="P118" s="28">
        <v>1531.1</v>
      </c>
      <c r="Q118" s="28">
        <v>1531.1</v>
      </c>
      <c r="R118" s="28">
        <v>1531.1</v>
      </c>
      <c r="S118" s="28">
        <v>1531.1</v>
      </c>
      <c r="T118" s="28">
        <v>1531.1</v>
      </c>
      <c r="U118" s="28">
        <v>1531.1</v>
      </c>
      <c r="V118" s="28">
        <v>1531.1</v>
      </c>
      <c r="W118" s="28">
        <v>1531.1</v>
      </c>
      <c r="X118" s="28">
        <v>1531.1</v>
      </c>
      <c r="Y118" s="28">
        <v>1531.1</v>
      </c>
      <c r="Z118" s="28">
        <v>1531.1</v>
      </c>
      <c r="AA118" s="28">
        <v>1531.1</v>
      </c>
      <c r="AB118" s="28">
        <v>1531.1</v>
      </c>
      <c r="AC118" s="28">
        <v>1531.1</v>
      </c>
      <c r="AD118" s="28">
        <v>1531.1</v>
      </c>
      <c r="AE118" s="28">
        <v>1531.1</v>
      </c>
      <c r="AF118" s="28">
        <v>1531.1</v>
      </c>
      <c r="AG118" s="28">
        <v>1531.1</v>
      </c>
      <c r="AH118" s="28">
        <v>1531.1</v>
      </c>
      <c r="AI118" s="28">
        <v>1531.1</v>
      </c>
      <c r="AJ118" s="28">
        <v>1531.1</v>
      </c>
      <c r="AK118" s="28">
        <v>1531.1</v>
      </c>
      <c r="AL118" s="28">
        <v>1531.1</v>
      </c>
      <c r="AM118" s="28">
        <v>1531.1</v>
      </c>
      <c r="AN118" s="28">
        <v>1531.1</v>
      </c>
      <c r="AO118" s="28">
        <v>1531.1</v>
      </c>
      <c r="AP118" s="28">
        <v>1531.1</v>
      </c>
      <c r="AQ118" s="28">
        <v>1531.1</v>
      </c>
      <c r="AR118" s="28">
        <v>1531.1</v>
      </c>
      <c r="AS118" s="28">
        <v>1531.1</v>
      </c>
      <c r="AT118" s="28">
        <v>1531.1</v>
      </c>
      <c r="AU118" s="28">
        <v>1531.1</v>
      </c>
      <c r="AV118" s="28">
        <v>1531.1</v>
      </c>
      <c r="AW118" s="28">
        <v>1531.1</v>
      </c>
      <c r="AX118" s="28">
        <v>1531.1</v>
      </c>
      <c r="AY118" s="28">
        <v>1531.1</v>
      </c>
      <c r="AZ118" s="28">
        <v>1531.1</v>
      </c>
      <c r="BA118" s="28">
        <v>1531.1</v>
      </c>
      <c r="BB118" s="28">
        <v>1531.1</v>
      </c>
      <c r="BC118" s="28">
        <v>1531.1</v>
      </c>
      <c r="BD118" s="28">
        <v>1531.1</v>
      </c>
      <c r="BE118" s="28">
        <v>1531.1</v>
      </c>
      <c r="BF118" s="28">
        <v>1531.1</v>
      </c>
      <c r="BG118" s="28">
        <v>1531.1</v>
      </c>
      <c r="BH118" s="28">
        <v>1531.1</v>
      </c>
      <c r="BI118" s="28">
        <v>1531.1</v>
      </c>
      <c r="BJ118" s="28">
        <v>1531.1</v>
      </c>
    </row>
    <row r="119" spans="1:62" x14ac:dyDescent="0.25">
      <c r="A119" s="28">
        <v>1526.28</v>
      </c>
      <c r="B119" s="28">
        <v>1526.9</v>
      </c>
      <c r="C119" s="28">
        <v>1526.68</v>
      </c>
      <c r="D119" s="28">
        <v>1526.7</v>
      </c>
      <c r="E119" s="28">
        <v>1526.1</v>
      </c>
      <c r="F119" s="28">
        <v>1526.8</v>
      </c>
      <c r="G119" s="28">
        <v>1526.2</v>
      </c>
      <c r="H119" s="28">
        <v>1526.9</v>
      </c>
      <c r="I119" s="28">
        <v>1527</v>
      </c>
      <c r="J119" s="28">
        <v>1526.75</v>
      </c>
      <c r="K119" s="28">
        <v>1526.12</v>
      </c>
      <c r="L119" s="28">
        <v>1527.03</v>
      </c>
      <c r="M119" s="28">
        <v>1526.78</v>
      </c>
      <c r="N119" s="28">
        <v>1526.68</v>
      </c>
      <c r="O119" s="28">
        <v>1526.51</v>
      </c>
      <c r="P119" s="28">
        <v>1526.57</v>
      </c>
      <c r="Q119" s="28">
        <v>1526.68</v>
      </c>
      <c r="R119" s="28">
        <v>1526.49</v>
      </c>
      <c r="S119" s="28">
        <v>1526.6</v>
      </c>
      <c r="T119" s="28">
        <v>1526.6</v>
      </c>
      <c r="U119" s="28">
        <v>1526.8</v>
      </c>
      <c r="V119" s="28">
        <v>1526.76</v>
      </c>
      <c r="W119" s="28">
        <v>1526.9</v>
      </c>
      <c r="X119" s="28">
        <v>1526.7</v>
      </c>
      <c r="Y119" s="28">
        <v>1527.1</v>
      </c>
      <c r="Z119" s="28">
        <v>1526.52</v>
      </c>
      <c r="AA119" s="28">
        <v>1526.66</v>
      </c>
      <c r="AB119" s="28">
        <v>1526.15</v>
      </c>
      <c r="AC119" s="28">
        <v>1526.46</v>
      </c>
      <c r="AD119" s="28">
        <v>1526.44</v>
      </c>
      <c r="AE119" s="28">
        <v>1526.76</v>
      </c>
      <c r="AF119" s="28">
        <v>1526.2</v>
      </c>
      <c r="AG119" s="28">
        <v>1526.47</v>
      </c>
      <c r="AH119" s="28">
        <v>1526.61</v>
      </c>
      <c r="AI119" s="28">
        <v>1526.6</v>
      </c>
      <c r="AJ119" s="28">
        <v>1526.76</v>
      </c>
      <c r="AK119" s="28">
        <v>1526.27</v>
      </c>
      <c r="AL119" s="28">
        <v>1526.49</v>
      </c>
      <c r="AM119" s="28">
        <v>1526.33</v>
      </c>
      <c r="AN119" s="28">
        <v>1526.48</v>
      </c>
      <c r="AO119" s="28">
        <v>1526.55</v>
      </c>
      <c r="AP119" s="28">
        <v>1527</v>
      </c>
      <c r="AQ119" s="28">
        <v>1526.56</v>
      </c>
      <c r="AR119" s="28">
        <v>1527.02</v>
      </c>
      <c r="AS119" s="28">
        <v>1527.01</v>
      </c>
      <c r="AT119" s="28">
        <v>1526.68</v>
      </c>
      <c r="AU119" s="28">
        <v>1526.03</v>
      </c>
      <c r="AV119" s="28">
        <v>1526.91</v>
      </c>
      <c r="AW119" s="28">
        <v>1526.4</v>
      </c>
      <c r="AX119" s="28">
        <v>1526.92</v>
      </c>
      <c r="AY119" s="28">
        <v>1527</v>
      </c>
      <c r="AZ119" s="28">
        <v>1526.37</v>
      </c>
      <c r="BA119" s="28">
        <v>1526.54</v>
      </c>
      <c r="BB119" s="28">
        <v>1526.36</v>
      </c>
      <c r="BC119" s="28">
        <v>1526.86</v>
      </c>
      <c r="BD119" s="28">
        <v>1526.75</v>
      </c>
      <c r="BE119" s="28">
        <v>1525.95</v>
      </c>
      <c r="BF119" s="28">
        <v>1526.62</v>
      </c>
      <c r="BG119" s="28">
        <v>1526.68</v>
      </c>
      <c r="BH119" s="28">
        <v>1526.59</v>
      </c>
      <c r="BI119" s="28">
        <v>1526.02</v>
      </c>
      <c r="BJ119" s="28">
        <v>1526.58</v>
      </c>
    </row>
    <row r="120" spans="1:62" x14ac:dyDescent="0.25">
      <c r="A120" s="28" t="s">
        <v>30</v>
      </c>
      <c r="B120" s="28" t="s">
        <v>31</v>
      </c>
      <c r="C120" s="28" t="s">
        <v>54</v>
      </c>
      <c r="D120" s="28" t="s">
        <v>55</v>
      </c>
      <c r="E120" s="28" t="s">
        <v>68</v>
      </c>
      <c r="F120" s="28" t="s">
        <v>69</v>
      </c>
      <c r="G120" s="28" t="s">
        <v>18</v>
      </c>
      <c r="H120" s="28">
        <v>62</v>
      </c>
    </row>
    <row r="121" spans="1:62" x14ac:dyDescent="0.25">
      <c r="A121" s="5">
        <v>46169</v>
      </c>
      <c r="B121" s="5">
        <v>46169</v>
      </c>
      <c r="C121" s="5">
        <v>46169</v>
      </c>
      <c r="D121" s="5">
        <v>46169</v>
      </c>
      <c r="E121" s="5">
        <v>46170</v>
      </c>
      <c r="F121" s="5">
        <v>46170</v>
      </c>
      <c r="G121" s="5">
        <v>46171</v>
      </c>
      <c r="H121" s="5">
        <v>46171</v>
      </c>
      <c r="I121" s="5">
        <v>46171</v>
      </c>
      <c r="J121" s="5">
        <v>46171</v>
      </c>
      <c r="K121" s="5">
        <v>46172</v>
      </c>
      <c r="L121" s="5">
        <v>46172</v>
      </c>
      <c r="M121" s="5">
        <v>46172</v>
      </c>
      <c r="N121" s="5">
        <v>46174</v>
      </c>
      <c r="O121" s="5">
        <v>46174</v>
      </c>
      <c r="P121" s="5">
        <v>46174</v>
      </c>
      <c r="Q121" s="5">
        <v>46174</v>
      </c>
      <c r="R121" s="5">
        <v>46175</v>
      </c>
      <c r="S121" s="5">
        <v>46175</v>
      </c>
      <c r="T121" s="5">
        <v>46175</v>
      </c>
      <c r="U121" s="5">
        <v>46176</v>
      </c>
      <c r="V121" s="5">
        <v>46176</v>
      </c>
      <c r="W121" s="5">
        <v>46176</v>
      </c>
      <c r="X121" s="5">
        <v>46176</v>
      </c>
      <c r="Y121" s="5">
        <v>46176</v>
      </c>
      <c r="Z121" s="5">
        <v>46176</v>
      </c>
      <c r="AA121" s="5">
        <v>46176</v>
      </c>
      <c r="AB121" s="5">
        <v>46177</v>
      </c>
      <c r="AC121" s="5">
        <v>46178</v>
      </c>
      <c r="AD121" s="5">
        <v>46178</v>
      </c>
      <c r="AE121" s="5">
        <v>46178</v>
      </c>
      <c r="AF121" s="5">
        <v>46179</v>
      </c>
      <c r="AG121" s="5">
        <v>46180</v>
      </c>
      <c r="AH121" s="5">
        <v>46180</v>
      </c>
      <c r="AI121" s="5">
        <v>46180</v>
      </c>
      <c r="AJ121" s="5">
        <v>46180</v>
      </c>
      <c r="AK121" s="5">
        <v>46181</v>
      </c>
      <c r="AL121" s="5">
        <v>46181</v>
      </c>
      <c r="AM121" s="5">
        <v>46181</v>
      </c>
      <c r="AN121" s="5">
        <v>46181</v>
      </c>
      <c r="AO121" s="5">
        <v>46181</v>
      </c>
      <c r="AP121" s="5">
        <v>46182</v>
      </c>
      <c r="AQ121" s="5">
        <v>46182</v>
      </c>
      <c r="AR121" s="5">
        <v>46182</v>
      </c>
      <c r="AS121" s="5">
        <v>46182</v>
      </c>
      <c r="AT121" s="5">
        <v>46182</v>
      </c>
      <c r="AU121" s="5">
        <v>46183</v>
      </c>
      <c r="AV121" s="5">
        <v>46183</v>
      </c>
      <c r="AW121" s="5">
        <v>46183</v>
      </c>
      <c r="AX121" s="5">
        <v>46183</v>
      </c>
      <c r="AY121" s="5">
        <v>46183</v>
      </c>
      <c r="AZ121" s="5">
        <v>46184</v>
      </c>
      <c r="BA121" s="5">
        <v>46184</v>
      </c>
      <c r="BB121" s="5">
        <v>46184</v>
      </c>
      <c r="BC121" s="5">
        <v>46184</v>
      </c>
      <c r="BD121" s="5">
        <v>46184</v>
      </c>
      <c r="BE121" s="5">
        <v>46185</v>
      </c>
      <c r="BF121" s="5">
        <v>46185</v>
      </c>
      <c r="BG121" s="5">
        <v>46185</v>
      </c>
      <c r="BH121" s="5">
        <v>46185</v>
      </c>
      <c r="BI121" s="5">
        <v>46186</v>
      </c>
      <c r="BJ121" s="5">
        <v>46186</v>
      </c>
    </row>
    <row r="122" spans="1:62" x14ac:dyDescent="0.25">
      <c r="A122" s="28">
        <v>816948</v>
      </c>
      <c r="B122" s="28">
        <v>816987</v>
      </c>
      <c r="C122" s="28">
        <v>816998</v>
      </c>
      <c r="D122" s="28">
        <v>817092</v>
      </c>
      <c r="E122" s="28">
        <v>817353</v>
      </c>
      <c r="F122" s="28">
        <v>817441</v>
      </c>
      <c r="G122" s="28">
        <v>817773</v>
      </c>
      <c r="H122" s="28">
        <v>817861</v>
      </c>
      <c r="I122" s="28">
        <v>817943</v>
      </c>
      <c r="J122" s="28">
        <v>817985</v>
      </c>
      <c r="K122" s="28">
        <v>818214</v>
      </c>
      <c r="L122" s="28">
        <v>818254</v>
      </c>
      <c r="M122" s="28">
        <v>818291</v>
      </c>
      <c r="N122" s="28">
        <v>818439</v>
      </c>
      <c r="O122" s="28">
        <v>818580</v>
      </c>
      <c r="P122" s="28">
        <v>818627</v>
      </c>
      <c r="Q122" s="28">
        <v>818667</v>
      </c>
      <c r="R122" s="28">
        <v>818839</v>
      </c>
      <c r="S122" s="28">
        <v>818934</v>
      </c>
      <c r="T122" s="28">
        <v>819019</v>
      </c>
      <c r="U122" s="28">
        <v>819103</v>
      </c>
      <c r="V122" s="28">
        <v>819271</v>
      </c>
      <c r="W122" s="28">
        <v>819315</v>
      </c>
      <c r="X122" s="28">
        <v>819370</v>
      </c>
      <c r="Y122" s="28">
        <v>819445</v>
      </c>
      <c r="Z122" s="28">
        <v>819491</v>
      </c>
      <c r="AA122" s="28">
        <v>819533</v>
      </c>
      <c r="AB122" s="28">
        <v>819706</v>
      </c>
      <c r="AC122" s="28">
        <v>819995</v>
      </c>
      <c r="AD122" s="28">
        <v>820041</v>
      </c>
      <c r="AE122" s="28">
        <v>820088</v>
      </c>
      <c r="AF122" s="28">
        <v>820271</v>
      </c>
      <c r="AG122" s="28">
        <v>820495</v>
      </c>
      <c r="AH122" s="28">
        <v>820568</v>
      </c>
      <c r="AI122" s="28">
        <v>820630</v>
      </c>
      <c r="AJ122" s="28">
        <v>820670</v>
      </c>
      <c r="AK122" s="28">
        <v>820873</v>
      </c>
      <c r="AL122" s="28">
        <v>820921</v>
      </c>
      <c r="AM122" s="28">
        <v>820957</v>
      </c>
      <c r="AN122" s="28">
        <v>821024</v>
      </c>
      <c r="AO122" s="28">
        <v>821060</v>
      </c>
      <c r="AP122" s="28">
        <v>821288</v>
      </c>
      <c r="AQ122" s="28">
        <v>821319</v>
      </c>
      <c r="AR122" s="28">
        <v>821356</v>
      </c>
      <c r="AS122" s="28">
        <v>821451</v>
      </c>
      <c r="AT122" s="28">
        <v>821500</v>
      </c>
      <c r="AU122" s="28">
        <v>821710</v>
      </c>
      <c r="AV122" s="28">
        <v>821754</v>
      </c>
      <c r="AW122" s="28">
        <v>821805</v>
      </c>
      <c r="AX122" s="28">
        <v>821885</v>
      </c>
      <c r="AY122" s="28">
        <v>821931</v>
      </c>
      <c r="AZ122" s="28">
        <v>822143</v>
      </c>
      <c r="BA122" s="28">
        <v>822185</v>
      </c>
      <c r="BB122" s="28">
        <v>822236</v>
      </c>
      <c r="BC122" s="28">
        <v>822306</v>
      </c>
      <c r="BD122" s="28">
        <v>822352</v>
      </c>
      <c r="BE122" s="28">
        <v>822558</v>
      </c>
      <c r="BF122" s="28">
        <v>822647</v>
      </c>
      <c r="BG122" s="28">
        <v>822737</v>
      </c>
      <c r="BH122" s="28">
        <v>822777</v>
      </c>
      <c r="BI122" s="28">
        <v>823003</v>
      </c>
      <c r="BJ122" s="28">
        <v>823082</v>
      </c>
    </row>
    <row r="123" spans="1:62" x14ac:dyDescent="0.25">
      <c r="A123" s="28">
        <v>620.4</v>
      </c>
      <c r="B123" s="28">
        <v>620.4</v>
      </c>
      <c r="C123" s="28">
        <v>620.4</v>
      </c>
      <c r="D123" s="28">
        <v>620.4</v>
      </c>
      <c r="E123" s="28">
        <v>620.4</v>
      </c>
      <c r="F123" s="28">
        <v>620.4</v>
      </c>
      <c r="G123" s="28">
        <v>620.4</v>
      </c>
      <c r="H123" s="28">
        <v>620.4</v>
      </c>
      <c r="I123" s="28">
        <v>620.4</v>
      </c>
      <c r="J123" s="28">
        <v>620.4</v>
      </c>
      <c r="K123" s="28">
        <v>620.4</v>
      </c>
      <c r="L123" s="28">
        <v>620.4</v>
      </c>
      <c r="M123" s="28">
        <v>620.4</v>
      </c>
      <c r="N123" s="28">
        <v>620.4</v>
      </c>
      <c r="O123" s="28">
        <v>620.4</v>
      </c>
      <c r="P123" s="28">
        <v>620.4</v>
      </c>
      <c r="Q123" s="28">
        <v>620.4</v>
      </c>
      <c r="R123" s="28">
        <v>620.4</v>
      </c>
      <c r="S123" s="28">
        <v>620.4</v>
      </c>
      <c r="T123" s="28">
        <v>620.4</v>
      </c>
      <c r="U123" s="28">
        <v>620.4</v>
      </c>
      <c r="V123" s="28">
        <v>620.4</v>
      </c>
      <c r="W123" s="28">
        <v>620.4</v>
      </c>
      <c r="X123" s="28">
        <v>620.4</v>
      </c>
      <c r="Y123" s="28">
        <v>620.4</v>
      </c>
      <c r="Z123" s="28">
        <v>620.4</v>
      </c>
      <c r="AA123" s="28">
        <v>620.4</v>
      </c>
      <c r="AB123" s="28">
        <v>620.4</v>
      </c>
      <c r="AC123" s="28">
        <v>620.4</v>
      </c>
      <c r="AD123" s="28">
        <v>620.4</v>
      </c>
      <c r="AE123" s="28">
        <v>620.4</v>
      </c>
      <c r="AF123" s="28">
        <v>620.4</v>
      </c>
      <c r="AG123" s="28">
        <v>620.4</v>
      </c>
      <c r="AH123" s="28">
        <v>620.4</v>
      </c>
      <c r="AI123" s="28">
        <v>620.4</v>
      </c>
      <c r="AJ123" s="28">
        <v>620.4</v>
      </c>
      <c r="AK123" s="28">
        <v>620.4</v>
      </c>
      <c r="AL123" s="28">
        <v>620.4</v>
      </c>
      <c r="AM123" s="28">
        <v>620.4</v>
      </c>
      <c r="AN123" s="28">
        <v>620.4</v>
      </c>
      <c r="AO123" s="28">
        <v>620.4</v>
      </c>
      <c r="AP123" s="28">
        <v>620.4</v>
      </c>
      <c r="AQ123" s="28">
        <v>620.4</v>
      </c>
      <c r="AR123" s="28">
        <v>620.4</v>
      </c>
      <c r="AS123" s="28">
        <v>620.4</v>
      </c>
      <c r="AT123" s="28">
        <v>620.4</v>
      </c>
      <c r="AU123" s="28">
        <v>620.4</v>
      </c>
      <c r="AV123" s="28">
        <v>620.4</v>
      </c>
      <c r="AW123" s="28">
        <v>620.4</v>
      </c>
      <c r="AX123" s="28">
        <v>620.4</v>
      </c>
      <c r="AY123" s="28">
        <v>620.4</v>
      </c>
      <c r="AZ123" s="28">
        <v>620.4</v>
      </c>
      <c r="BA123" s="28">
        <v>620.4</v>
      </c>
      <c r="BB123" s="28">
        <v>620.4</v>
      </c>
      <c r="BC123" s="28">
        <v>620.4</v>
      </c>
      <c r="BD123" s="28">
        <v>620.4</v>
      </c>
      <c r="BE123" s="28">
        <v>620.4</v>
      </c>
      <c r="BF123" s="28">
        <v>620.4</v>
      </c>
      <c r="BG123" s="28">
        <v>620.4</v>
      </c>
      <c r="BH123" s="28">
        <v>620.4</v>
      </c>
      <c r="BI123" s="28">
        <v>620.4</v>
      </c>
      <c r="BJ123" s="28">
        <v>620.4</v>
      </c>
    </row>
    <row r="124" spans="1:62" x14ac:dyDescent="0.25">
      <c r="A124" s="28">
        <v>616.4</v>
      </c>
      <c r="B124" s="28">
        <v>616.4</v>
      </c>
      <c r="C124" s="28">
        <v>616.4</v>
      </c>
      <c r="D124" s="28">
        <v>616.4</v>
      </c>
      <c r="E124" s="28">
        <v>616.4</v>
      </c>
      <c r="F124" s="28">
        <v>616.4</v>
      </c>
      <c r="G124" s="28">
        <v>616.4</v>
      </c>
      <c r="H124" s="28">
        <v>616.4</v>
      </c>
      <c r="I124" s="28">
        <v>616.4</v>
      </c>
      <c r="J124" s="28">
        <v>616.4</v>
      </c>
      <c r="K124" s="28">
        <v>616.4</v>
      </c>
      <c r="L124" s="28">
        <v>616.4</v>
      </c>
      <c r="M124" s="28">
        <v>616.4</v>
      </c>
      <c r="N124" s="28">
        <v>616.4</v>
      </c>
      <c r="O124" s="28">
        <v>616.4</v>
      </c>
      <c r="P124" s="28">
        <v>616.4</v>
      </c>
      <c r="Q124" s="28">
        <v>616.4</v>
      </c>
      <c r="R124" s="28">
        <v>616.4</v>
      </c>
      <c r="S124" s="28">
        <v>616.4</v>
      </c>
      <c r="T124" s="28">
        <v>616.4</v>
      </c>
      <c r="U124" s="28">
        <v>616.4</v>
      </c>
      <c r="V124" s="28">
        <v>616.4</v>
      </c>
      <c r="W124" s="28">
        <v>616.4</v>
      </c>
      <c r="X124" s="28">
        <v>616.4</v>
      </c>
      <c r="Y124" s="28">
        <v>616.4</v>
      </c>
      <c r="Z124" s="28">
        <v>616.4</v>
      </c>
      <c r="AA124" s="28">
        <v>616.4</v>
      </c>
      <c r="AB124" s="28">
        <v>616.4</v>
      </c>
      <c r="AC124" s="28">
        <v>616.4</v>
      </c>
      <c r="AD124" s="28">
        <v>616.4</v>
      </c>
      <c r="AE124" s="28">
        <v>616.4</v>
      </c>
      <c r="AF124" s="28">
        <v>616.4</v>
      </c>
      <c r="AG124" s="28">
        <v>616.4</v>
      </c>
      <c r="AH124" s="28">
        <v>616.4</v>
      </c>
      <c r="AI124" s="28">
        <v>616.4</v>
      </c>
      <c r="AJ124" s="28">
        <v>616.4</v>
      </c>
      <c r="AK124" s="28">
        <v>616.4</v>
      </c>
      <c r="AL124" s="28">
        <v>616.4</v>
      </c>
      <c r="AM124" s="28">
        <v>616.4</v>
      </c>
      <c r="AN124" s="28">
        <v>616.4</v>
      </c>
      <c r="AO124" s="28">
        <v>616.4</v>
      </c>
      <c r="AP124" s="28">
        <v>616.4</v>
      </c>
      <c r="AQ124" s="28">
        <v>616.4</v>
      </c>
      <c r="AR124" s="28">
        <v>616.4</v>
      </c>
      <c r="AS124" s="28">
        <v>616.4</v>
      </c>
      <c r="AT124" s="28">
        <v>616.4</v>
      </c>
      <c r="AU124" s="28">
        <v>616.4</v>
      </c>
      <c r="AV124" s="28">
        <v>616.4</v>
      </c>
      <c r="AW124" s="28">
        <v>616.4</v>
      </c>
      <c r="AX124" s="28">
        <v>616.4</v>
      </c>
      <c r="AY124" s="28">
        <v>616.4</v>
      </c>
      <c r="AZ124" s="28">
        <v>616.4</v>
      </c>
      <c r="BA124" s="28">
        <v>616.4</v>
      </c>
      <c r="BB124" s="28">
        <v>616.4</v>
      </c>
      <c r="BC124" s="28">
        <v>616.4</v>
      </c>
      <c r="BD124" s="28">
        <v>616.4</v>
      </c>
      <c r="BE124" s="28">
        <v>616.4</v>
      </c>
      <c r="BF124" s="28">
        <v>616.4</v>
      </c>
      <c r="BG124" s="28">
        <v>616.4</v>
      </c>
      <c r="BH124" s="28">
        <v>616.4</v>
      </c>
      <c r="BI124" s="28">
        <v>616.4</v>
      </c>
      <c r="BJ124" s="28">
        <v>616.4</v>
      </c>
    </row>
    <row r="125" spans="1:62" x14ac:dyDescent="0.25">
      <c r="A125" s="28">
        <v>624.4</v>
      </c>
      <c r="B125" s="28">
        <v>624.4</v>
      </c>
      <c r="C125" s="28">
        <v>624.4</v>
      </c>
      <c r="D125" s="28">
        <v>624.4</v>
      </c>
      <c r="E125" s="28">
        <v>624.4</v>
      </c>
      <c r="F125" s="28">
        <v>624.4</v>
      </c>
      <c r="G125" s="28">
        <v>624.4</v>
      </c>
      <c r="H125" s="28">
        <v>624.4</v>
      </c>
      <c r="I125" s="28">
        <v>624.4</v>
      </c>
      <c r="J125" s="28">
        <v>624.4</v>
      </c>
      <c r="K125" s="28">
        <v>624.4</v>
      </c>
      <c r="L125" s="28">
        <v>624.4</v>
      </c>
      <c r="M125" s="28">
        <v>624.4</v>
      </c>
      <c r="N125" s="28">
        <v>624.4</v>
      </c>
      <c r="O125" s="28">
        <v>624.4</v>
      </c>
      <c r="P125" s="28">
        <v>624.4</v>
      </c>
      <c r="Q125" s="28">
        <v>624.4</v>
      </c>
      <c r="R125" s="28">
        <v>624.4</v>
      </c>
      <c r="S125" s="28">
        <v>624.4</v>
      </c>
      <c r="T125" s="28">
        <v>624.4</v>
      </c>
      <c r="U125" s="28">
        <v>624.4</v>
      </c>
      <c r="V125" s="28">
        <v>624.4</v>
      </c>
      <c r="W125" s="28">
        <v>624.4</v>
      </c>
      <c r="X125" s="28">
        <v>624.4</v>
      </c>
      <c r="Y125" s="28">
        <v>624.4</v>
      </c>
      <c r="Z125" s="28">
        <v>624.4</v>
      </c>
      <c r="AA125" s="28">
        <v>624.4</v>
      </c>
      <c r="AB125" s="28">
        <v>624.4</v>
      </c>
      <c r="AC125" s="28">
        <v>624.4</v>
      </c>
      <c r="AD125" s="28">
        <v>624.4</v>
      </c>
      <c r="AE125" s="28">
        <v>624.4</v>
      </c>
      <c r="AF125" s="28">
        <v>624.4</v>
      </c>
      <c r="AG125" s="28">
        <v>624.4</v>
      </c>
      <c r="AH125" s="28">
        <v>624.4</v>
      </c>
      <c r="AI125" s="28">
        <v>624.4</v>
      </c>
      <c r="AJ125" s="28">
        <v>624.4</v>
      </c>
      <c r="AK125" s="28">
        <v>624.4</v>
      </c>
      <c r="AL125" s="28">
        <v>624.4</v>
      </c>
      <c r="AM125" s="28">
        <v>624.4</v>
      </c>
      <c r="AN125" s="28">
        <v>624.4</v>
      </c>
      <c r="AO125" s="28">
        <v>624.4</v>
      </c>
      <c r="AP125" s="28">
        <v>624.4</v>
      </c>
      <c r="AQ125" s="28">
        <v>624.4</v>
      </c>
      <c r="AR125" s="28">
        <v>624.4</v>
      </c>
      <c r="AS125" s="28">
        <v>624.4</v>
      </c>
      <c r="AT125" s="28">
        <v>624.4</v>
      </c>
      <c r="AU125" s="28">
        <v>624.4</v>
      </c>
      <c r="AV125" s="28">
        <v>624.4</v>
      </c>
      <c r="AW125" s="28">
        <v>624.4</v>
      </c>
      <c r="AX125" s="28">
        <v>624.4</v>
      </c>
      <c r="AY125" s="28">
        <v>624.4</v>
      </c>
      <c r="AZ125" s="28">
        <v>624.4</v>
      </c>
      <c r="BA125" s="28">
        <v>624.4</v>
      </c>
      <c r="BB125" s="28">
        <v>624.4</v>
      </c>
      <c r="BC125" s="28">
        <v>624.4</v>
      </c>
      <c r="BD125" s="28">
        <v>624.4</v>
      </c>
      <c r="BE125" s="28">
        <v>624.4</v>
      </c>
      <c r="BF125" s="28">
        <v>624.4</v>
      </c>
      <c r="BG125" s="28">
        <v>624.4</v>
      </c>
      <c r="BH125" s="28">
        <v>624.4</v>
      </c>
      <c r="BI125" s="28">
        <v>624.4</v>
      </c>
      <c r="BJ125" s="28">
        <v>624.4</v>
      </c>
    </row>
    <row r="126" spans="1:62" x14ac:dyDescent="0.25">
      <c r="A126" s="28">
        <v>618.94000000000005</v>
      </c>
      <c r="B126" s="28">
        <v>620.28</v>
      </c>
      <c r="C126" s="28">
        <v>618.80999999999995</v>
      </c>
      <c r="D126" s="28">
        <v>618.79999999999995</v>
      </c>
      <c r="E126" s="28">
        <v>620.20000000000005</v>
      </c>
      <c r="F126" s="28">
        <v>619.79999999999995</v>
      </c>
      <c r="G126" s="28">
        <v>618.1</v>
      </c>
      <c r="H126" s="28">
        <v>619.79999999999995</v>
      </c>
      <c r="I126" s="28">
        <v>618.6</v>
      </c>
      <c r="J126" s="28">
        <v>618.33000000000004</v>
      </c>
      <c r="K126" s="28">
        <v>620.28</v>
      </c>
      <c r="L126" s="28">
        <v>620.47</v>
      </c>
      <c r="M126" s="28">
        <v>618.78</v>
      </c>
      <c r="N126" s="28">
        <v>618.83000000000004</v>
      </c>
      <c r="O126" s="28">
        <v>620.20000000000005</v>
      </c>
      <c r="P126" s="28">
        <v>620.70000000000005</v>
      </c>
      <c r="Q126" s="28">
        <v>620.97</v>
      </c>
      <c r="R126" s="28">
        <v>618.36</v>
      </c>
      <c r="S126" s="28">
        <v>619.20000000000005</v>
      </c>
      <c r="T126" s="28">
        <v>620.29999999999995</v>
      </c>
      <c r="U126" s="28">
        <v>621.70000000000005</v>
      </c>
      <c r="V126" s="28">
        <v>617.66999999999996</v>
      </c>
      <c r="W126" s="28">
        <v>620.70000000000005</v>
      </c>
      <c r="X126" s="28">
        <v>620.1</v>
      </c>
      <c r="Y126" s="28">
        <v>619.29999999999995</v>
      </c>
      <c r="Z126" s="28">
        <v>621</v>
      </c>
      <c r="AA126" s="28">
        <v>620.05999999999995</v>
      </c>
      <c r="AB126" s="28">
        <v>619.28</v>
      </c>
      <c r="AC126" s="28">
        <v>621.36</v>
      </c>
      <c r="AD126" s="28">
        <v>620.65</v>
      </c>
      <c r="AE126" s="28">
        <v>620.78</v>
      </c>
      <c r="AF126" s="28">
        <v>620.20000000000005</v>
      </c>
      <c r="AG126" s="28">
        <v>620.17999999999995</v>
      </c>
      <c r="AH126" s="28">
        <v>619.99</v>
      </c>
      <c r="AI126" s="28">
        <v>619.9</v>
      </c>
      <c r="AJ126" s="28">
        <v>620.65</v>
      </c>
      <c r="AK126" s="28">
        <v>619.91</v>
      </c>
      <c r="AL126" s="28">
        <v>620.02</v>
      </c>
      <c r="AM126" s="28">
        <v>619.42999999999995</v>
      </c>
      <c r="AN126" s="28">
        <v>619.48</v>
      </c>
      <c r="AO126" s="28">
        <v>619.54</v>
      </c>
      <c r="AP126" s="28">
        <v>618.47</v>
      </c>
      <c r="AQ126" s="28">
        <v>619.36</v>
      </c>
      <c r="AR126" s="28">
        <v>619.27</v>
      </c>
      <c r="AS126" s="28">
        <v>620.45000000000005</v>
      </c>
      <c r="AT126" s="28">
        <v>619.14</v>
      </c>
      <c r="AU126" s="28">
        <v>619.54</v>
      </c>
      <c r="AV126" s="28">
        <v>619.87</v>
      </c>
      <c r="AW126" s="28">
        <v>620.42999999999995</v>
      </c>
      <c r="AX126" s="28">
        <v>619.73</v>
      </c>
      <c r="AY126" s="28">
        <v>618.29999999999995</v>
      </c>
      <c r="AZ126" s="28">
        <v>619.83000000000004</v>
      </c>
      <c r="BA126" s="28">
        <v>619.79999999999995</v>
      </c>
      <c r="BB126" s="28">
        <v>619.91</v>
      </c>
      <c r="BC126" s="28">
        <v>619.22</v>
      </c>
      <c r="BD126" s="28">
        <v>620.19000000000005</v>
      </c>
      <c r="BE126" s="28">
        <v>620.6</v>
      </c>
      <c r="BF126" s="28">
        <v>619.84</v>
      </c>
      <c r="BG126" s="28">
        <v>618.67999999999995</v>
      </c>
      <c r="BH126" s="28">
        <v>618.69000000000005</v>
      </c>
      <c r="BI126" s="28">
        <v>619.38</v>
      </c>
      <c r="BJ126" s="28">
        <v>620.45000000000005</v>
      </c>
    </row>
    <row r="127" spans="1:62" x14ac:dyDescent="0.25">
      <c r="A127" s="28" t="s">
        <v>30</v>
      </c>
      <c r="B127" s="28" t="s">
        <v>31</v>
      </c>
      <c r="C127" s="28" t="s">
        <v>54</v>
      </c>
      <c r="D127" s="28" t="s">
        <v>55</v>
      </c>
      <c r="E127" s="28" t="s">
        <v>70</v>
      </c>
      <c r="F127" s="28" t="s">
        <v>71</v>
      </c>
      <c r="G127" s="28" t="s">
        <v>23</v>
      </c>
      <c r="H127" s="28">
        <v>62</v>
      </c>
    </row>
    <row r="128" spans="1:62" x14ac:dyDescent="0.25">
      <c r="A128" s="5">
        <v>46169</v>
      </c>
      <c r="B128" s="5">
        <v>46169</v>
      </c>
      <c r="C128" s="5">
        <v>46169</v>
      </c>
      <c r="D128" s="5">
        <v>46169</v>
      </c>
      <c r="E128" s="5">
        <v>46170</v>
      </c>
      <c r="F128" s="5">
        <v>46170</v>
      </c>
      <c r="G128" s="5">
        <v>46171</v>
      </c>
      <c r="H128" s="5">
        <v>46171</v>
      </c>
      <c r="I128" s="5">
        <v>46171</v>
      </c>
      <c r="J128" s="5">
        <v>46171</v>
      </c>
      <c r="K128" s="5">
        <v>46172</v>
      </c>
      <c r="L128" s="5">
        <v>46172</v>
      </c>
      <c r="M128" s="5">
        <v>46172</v>
      </c>
      <c r="N128" s="5">
        <v>46174</v>
      </c>
      <c r="O128" s="5">
        <v>46174</v>
      </c>
      <c r="P128" s="5">
        <v>46174</v>
      </c>
      <c r="Q128" s="5">
        <v>46174</v>
      </c>
      <c r="R128" s="5">
        <v>46175</v>
      </c>
      <c r="S128" s="5">
        <v>46175</v>
      </c>
      <c r="T128" s="5">
        <v>46175</v>
      </c>
      <c r="U128" s="5">
        <v>46176</v>
      </c>
      <c r="V128" s="5">
        <v>46176</v>
      </c>
      <c r="W128" s="5">
        <v>46176</v>
      </c>
      <c r="X128" s="5">
        <v>46176</v>
      </c>
      <c r="Y128" s="5">
        <v>46176</v>
      </c>
      <c r="Z128" s="5">
        <v>46176</v>
      </c>
      <c r="AA128" s="5">
        <v>46176</v>
      </c>
      <c r="AB128" s="5">
        <v>46177</v>
      </c>
      <c r="AC128" s="5">
        <v>46178</v>
      </c>
      <c r="AD128" s="5">
        <v>46178</v>
      </c>
      <c r="AE128" s="5">
        <v>46178</v>
      </c>
      <c r="AF128" s="5">
        <v>46179</v>
      </c>
      <c r="AG128" s="5">
        <v>46180</v>
      </c>
      <c r="AH128" s="5">
        <v>46180</v>
      </c>
      <c r="AI128" s="5">
        <v>46180</v>
      </c>
      <c r="AJ128" s="5">
        <v>46180</v>
      </c>
      <c r="AK128" s="5">
        <v>46181</v>
      </c>
      <c r="AL128" s="5">
        <v>46181</v>
      </c>
      <c r="AM128" s="5">
        <v>46181</v>
      </c>
      <c r="AN128" s="5">
        <v>46181</v>
      </c>
      <c r="AO128" s="5">
        <v>46181</v>
      </c>
      <c r="AP128" s="5">
        <v>46182</v>
      </c>
      <c r="AQ128" s="5">
        <v>46182</v>
      </c>
      <c r="AR128" s="5">
        <v>46182</v>
      </c>
      <c r="AS128" s="5">
        <v>46182</v>
      </c>
      <c r="AT128" s="5">
        <v>46182</v>
      </c>
      <c r="AU128" s="5">
        <v>46183</v>
      </c>
      <c r="AV128" s="5">
        <v>46183</v>
      </c>
      <c r="AW128" s="5">
        <v>46183</v>
      </c>
      <c r="AX128" s="5">
        <v>46183</v>
      </c>
      <c r="AY128" s="5">
        <v>46183</v>
      </c>
      <c r="AZ128" s="5">
        <v>46184</v>
      </c>
      <c r="BA128" s="5">
        <v>46184</v>
      </c>
      <c r="BB128" s="5">
        <v>46184</v>
      </c>
      <c r="BC128" s="5">
        <v>46184</v>
      </c>
      <c r="BD128" s="5">
        <v>46184</v>
      </c>
      <c r="BE128" s="5">
        <v>46185</v>
      </c>
      <c r="BF128" s="5">
        <v>46185</v>
      </c>
      <c r="BG128" s="5">
        <v>46185</v>
      </c>
      <c r="BH128" s="5">
        <v>46185</v>
      </c>
      <c r="BI128" s="5">
        <v>46186</v>
      </c>
      <c r="BJ128" s="5">
        <v>46186</v>
      </c>
    </row>
    <row r="129" spans="1:62" x14ac:dyDescent="0.25">
      <c r="A129" s="28">
        <v>816948</v>
      </c>
      <c r="B129" s="28">
        <v>816987</v>
      </c>
      <c r="C129" s="28">
        <v>816998</v>
      </c>
      <c r="D129" s="28">
        <v>817092</v>
      </c>
      <c r="E129" s="28">
        <v>817353</v>
      </c>
      <c r="F129" s="28">
        <v>817441</v>
      </c>
      <c r="G129" s="28">
        <v>817773</v>
      </c>
      <c r="H129" s="28">
        <v>817861</v>
      </c>
      <c r="I129" s="28">
        <v>817943</v>
      </c>
      <c r="J129" s="28">
        <v>817985</v>
      </c>
      <c r="K129" s="28">
        <v>818214</v>
      </c>
      <c r="L129" s="28">
        <v>818254</v>
      </c>
      <c r="M129" s="28">
        <v>818291</v>
      </c>
      <c r="N129" s="28">
        <v>818439</v>
      </c>
      <c r="O129" s="28">
        <v>818580</v>
      </c>
      <c r="P129" s="28">
        <v>818627</v>
      </c>
      <c r="Q129" s="28">
        <v>818667</v>
      </c>
      <c r="R129" s="28">
        <v>818839</v>
      </c>
      <c r="S129" s="28">
        <v>818934</v>
      </c>
      <c r="T129" s="28">
        <v>819019</v>
      </c>
      <c r="U129" s="28">
        <v>819103</v>
      </c>
      <c r="V129" s="28">
        <v>819271</v>
      </c>
      <c r="W129" s="28">
        <v>819315</v>
      </c>
      <c r="X129" s="28">
        <v>819370</v>
      </c>
      <c r="Y129" s="28">
        <v>819445</v>
      </c>
      <c r="Z129" s="28">
        <v>819491</v>
      </c>
      <c r="AA129" s="28">
        <v>819533</v>
      </c>
      <c r="AB129" s="28">
        <v>819706</v>
      </c>
      <c r="AC129" s="28">
        <v>819995</v>
      </c>
      <c r="AD129" s="28">
        <v>820041</v>
      </c>
      <c r="AE129" s="28">
        <v>820088</v>
      </c>
      <c r="AF129" s="28">
        <v>820271</v>
      </c>
      <c r="AG129" s="28">
        <v>820495</v>
      </c>
      <c r="AH129" s="28">
        <v>820568</v>
      </c>
      <c r="AI129" s="28">
        <v>820630</v>
      </c>
      <c r="AJ129" s="28">
        <v>820670</v>
      </c>
      <c r="AK129" s="28">
        <v>820873</v>
      </c>
      <c r="AL129" s="28">
        <v>820921</v>
      </c>
      <c r="AM129" s="28">
        <v>820957</v>
      </c>
      <c r="AN129" s="28">
        <v>821024</v>
      </c>
      <c r="AO129" s="28">
        <v>821060</v>
      </c>
      <c r="AP129" s="28">
        <v>821288</v>
      </c>
      <c r="AQ129" s="28">
        <v>821319</v>
      </c>
      <c r="AR129" s="28">
        <v>821356</v>
      </c>
      <c r="AS129" s="28">
        <v>821451</v>
      </c>
      <c r="AT129" s="28">
        <v>821500</v>
      </c>
      <c r="AU129" s="28">
        <v>821710</v>
      </c>
      <c r="AV129" s="28">
        <v>821754</v>
      </c>
      <c r="AW129" s="28">
        <v>821805</v>
      </c>
      <c r="AX129" s="28">
        <v>821885</v>
      </c>
      <c r="AY129" s="28">
        <v>821931</v>
      </c>
      <c r="AZ129" s="28">
        <v>822143</v>
      </c>
      <c r="BA129" s="28">
        <v>822185</v>
      </c>
      <c r="BB129" s="28">
        <v>822236</v>
      </c>
      <c r="BC129" s="28">
        <v>822306</v>
      </c>
      <c r="BD129" s="28">
        <v>822352</v>
      </c>
      <c r="BE129" s="28">
        <v>822558</v>
      </c>
      <c r="BF129" s="28">
        <v>822647</v>
      </c>
      <c r="BG129" s="28">
        <v>822737</v>
      </c>
      <c r="BH129" s="28">
        <v>822777</v>
      </c>
      <c r="BI129" s="28">
        <v>823003</v>
      </c>
      <c r="BJ129" s="28">
        <v>823082</v>
      </c>
    </row>
    <row r="130" spans="1:62" x14ac:dyDescent="0.25">
      <c r="A130" s="28">
        <v>918</v>
      </c>
      <c r="B130" s="28">
        <v>918</v>
      </c>
      <c r="C130" s="28">
        <v>918</v>
      </c>
      <c r="D130" s="28">
        <v>918</v>
      </c>
      <c r="E130" s="28">
        <v>918</v>
      </c>
      <c r="F130" s="28">
        <v>918</v>
      </c>
      <c r="G130" s="28">
        <v>918</v>
      </c>
      <c r="H130" s="28">
        <v>918</v>
      </c>
      <c r="I130" s="28">
        <v>918</v>
      </c>
      <c r="J130" s="28">
        <v>918</v>
      </c>
      <c r="K130" s="28">
        <v>918</v>
      </c>
      <c r="L130" s="28">
        <v>918</v>
      </c>
      <c r="M130" s="28">
        <v>918</v>
      </c>
      <c r="N130" s="28">
        <v>918</v>
      </c>
      <c r="O130" s="28">
        <v>918</v>
      </c>
      <c r="P130" s="28">
        <v>918</v>
      </c>
      <c r="Q130" s="28">
        <v>918</v>
      </c>
      <c r="R130" s="28">
        <v>918</v>
      </c>
      <c r="S130" s="28">
        <v>918</v>
      </c>
      <c r="T130" s="28">
        <v>918</v>
      </c>
      <c r="U130" s="28">
        <v>918</v>
      </c>
      <c r="V130" s="28">
        <v>918</v>
      </c>
      <c r="W130" s="28">
        <v>918</v>
      </c>
      <c r="X130" s="28">
        <v>918</v>
      </c>
      <c r="Y130" s="28">
        <v>918</v>
      </c>
      <c r="Z130" s="28">
        <v>918</v>
      </c>
      <c r="AA130" s="28">
        <v>918</v>
      </c>
      <c r="AB130" s="28">
        <v>918</v>
      </c>
      <c r="AC130" s="28">
        <v>918</v>
      </c>
      <c r="AD130" s="28">
        <v>918</v>
      </c>
      <c r="AE130" s="28">
        <v>918</v>
      </c>
      <c r="AF130" s="28">
        <v>918</v>
      </c>
      <c r="AG130" s="28">
        <v>918</v>
      </c>
      <c r="AH130" s="28">
        <v>918</v>
      </c>
      <c r="AI130" s="28">
        <v>918</v>
      </c>
      <c r="AJ130" s="28">
        <v>918</v>
      </c>
      <c r="AK130" s="28">
        <v>918</v>
      </c>
      <c r="AL130" s="28">
        <v>918</v>
      </c>
      <c r="AM130" s="28">
        <v>918</v>
      </c>
      <c r="AN130" s="28">
        <v>918</v>
      </c>
      <c r="AO130" s="28">
        <v>918</v>
      </c>
      <c r="AP130" s="28">
        <v>918</v>
      </c>
      <c r="AQ130" s="28">
        <v>918</v>
      </c>
      <c r="AR130" s="28">
        <v>918</v>
      </c>
      <c r="AS130" s="28">
        <v>918</v>
      </c>
      <c r="AT130" s="28">
        <v>918</v>
      </c>
      <c r="AU130" s="28">
        <v>918</v>
      </c>
      <c r="AV130" s="28">
        <v>918</v>
      </c>
      <c r="AW130" s="28">
        <v>918</v>
      </c>
      <c r="AX130" s="28">
        <v>918</v>
      </c>
      <c r="AY130" s="28">
        <v>918</v>
      </c>
      <c r="AZ130" s="28">
        <v>918</v>
      </c>
      <c r="BA130" s="28">
        <v>918</v>
      </c>
      <c r="BB130" s="28">
        <v>918</v>
      </c>
      <c r="BC130" s="28">
        <v>918</v>
      </c>
      <c r="BD130" s="28">
        <v>918</v>
      </c>
      <c r="BE130" s="28">
        <v>918</v>
      </c>
      <c r="BF130" s="28">
        <v>918</v>
      </c>
      <c r="BG130" s="28">
        <v>918</v>
      </c>
      <c r="BH130" s="28">
        <v>918</v>
      </c>
      <c r="BI130" s="28">
        <v>918</v>
      </c>
      <c r="BJ130" s="28">
        <v>918</v>
      </c>
    </row>
    <row r="131" spans="1:62" x14ac:dyDescent="0.25">
      <c r="A131" s="28">
        <v>914</v>
      </c>
      <c r="B131" s="28">
        <v>914</v>
      </c>
      <c r="C131" s="28">
        <v>914</v>
      </c>
      <c r="D131" s="28">
        <v>914</v>
      </c>
      <c r="E131" s="28">
        <v>914</v>
      </c>
      <c r="F131" s="28">
        <v>914</v>
      </c>
      <c r="G131" s="28">
        <v>914</v>
      </c>
      <c r="H131" s="28">
        <v>914</v>
      </c>
      <c r="I131" s="28">
        <v>914</v>
      </c>
      <c r="J131" s="28">
        <v>914</v>
      </c>
      <c r="K131" s="28">
        <v>914</v>
      </c>
      <c r="L131" s="28">
        <v>914</v>
      </c>
      <c r="M131" s="28">
        <v>914</v>
      </c>
      <c r="N131" s="28">
        <v>914</v>
      </c>
      <c r="O131" s="28">
        <v>914</v>
      </c>
      <c r="P131" s="28">
        <v>914</v>
      </c>
      <c r="Q131" s="28">
        <v>914</v>
      </c>
      <c r="R131" s="28">
        <v>914</v>
      </c>
      <c r="S131" s="28">
        <v>914</v>
      </c>
      <c r="T131" s="28">
        <v>914</v>
      </c>
      <c r="U131" s="28">
        <v>914</v>
      </c>
      <c r="V131" s="28">
        <v>914</v>
      </c>
      <c r="W131" s="28">
        <v>914</v>
      </c>
      <c r="X131" s="28">
        <v>914</v>
      </c>
      <c r="Y131" s="28">
        <v>914</v>
      </c>
      <c r="Z131" s="28">
        <v>914</v>
      </c>
      <c r="AA131" s="28">
        <v>914</v>
      </c>
      <c r="AB131" s="28">
        <v>914</v>
      </c>
      <c r="AC131" s="28">
        <v>914</v>
      </c>
      <c r="AD131" s="28">
        <v>914</v>
      </c>
      <c r="AE131" s="28">
        <v>914</v>
      </c>
      <c r="AF131" s="28">
        <v>914</v>
      </c>
      <c r="AG131" s="28">
        <v>914</v>
      </c>
      <c r="AH131" s="28">
        <v>914</v>
      </c>
      <c r="AI131" s="28">
        <v>914</v>
      </c>
      <c r="AJ131" s="28">
        <v>914</v>
      </c>
      <c r="AK131" s="28">
        <v>914</v>
      </c>
      <c r="AL131" s="28">
        <v>914</v>
      </c>
      <c r="AM131" s="28">
        <v>914</v>
      </c>
      <c r="AN131" s="28">
        <v>914</v>
      </c>
      <c r="AO131" s="28">
        <v>914</v>
      </c>
      <c r="AP131" s="28">
        <v>914</v>
      </c>
      <c r="AQ131" s="28">
        <v>914</v>
      </c>
      <c r="AR131" s="28">
        <v>914</v>
      </c>
      <c r="AS131" s="28">
        <v>914</v>
      </c>
      <c r="AT131" s="28">
        <v>914</v>
      </c>
      <c r="AU131" s="28">
        <v>914</v>
      </c>
      <c r="AV131" s="28">
        <v>914</v>
      </c>
      <c r="AW131" s="28">
        <v>914</v>
      </c>
      <c r="AX131" s="28">
        <v>914</v>
      </c>
      <c r="AY131" s="28">
        <v>914</v>
      </c>
      <c r="AZ131" s="28">
        <v>914</v>
      </c>
      <c r="BA131" s="28">
        <v>914</v>
      </c>
      <c r="BB131" s="28">
        <v>914</v>
      </c>
      <c r="BC131" s="28">
        <v>914</v>
      </c>
      <c r="BD131" s="28">
        <v>914</v>
      </c>
      <c r="BE131" s="28">
        <v>914</v>
      </c>
      <c r="BF131" s="28">
        <v>914</v>
      </c>
      <c r="BG131" s="28">
        <v>914</v>
      </c>
      <c r="BH131" s="28">
        <v>914</v>
      </c>
      <c r="BI131" s="28">
        <v>914</v>
      </c>
      <c r="BJ131" s="28">
        <v>914</v>
      </c>
    </row>
    <row r="132" spans="1:62" x14ac:dyDescent="0.25">
      <c r="A132" s="28">
        <v>922</v>
      </c>
      <c r="B132" s="28">
        <v>922</v>
      </c>
      <c r="C132" s="28">
        <v>922</v>
      </c>
      <c r="D132" s="28">
        <v>922</v>
      </c>
      <c r="E132" s="28">
        <v>922</v>
      </c>
      <c r="F132" s="28">
        <v>922</v>
      </c>
      <c r="G132" s="28">
        <v>922</v>
      </c>
      <c r="H132" s="28">
        <v>922</v>
      </c>
      <c r="I132" s="28">
        <v>922</v>
      </c>
      <c r="J132" s="28">
        <v>922</v>
      </c>
      <c r="K132" s="28">
        <v>922</v>
      </c>
      <c r="L132" s="28">
        <v>922</v>
      </c>
      <c r="M132" s="28">
        <v>922</v>
      </c>
      <c r="N132" s="28">
        <v>922</v>
      </c>
      <c r="O132" s="28">
        <v>922</v>
      </c>
      <c r="P132" s="28">
        <v>922</v>
      </c>
      <c r="Q132" s="28">
        <v>922</v>
      </c>
      <c r="R132" s="28">
        <v>922</v>
      </c>
      <c r="S132" s="28">
        <v>922</v>
      </c>
      <c r="T132" s="28">
        <v>922</v>
      </c>
      <c r="U132" s="28">
        <v>922</v>
      </c>
      <c r="V132" s="28">
        <v>922</v>
      </c>
      <c r="W132" s="28">
        <v>922</v>
      </c>
      <c r="X132" s="28">
        <v>922</v>
      </c>
      <c r="Y132" s="28">
        <v>922</v>
      </c>
      <c r="Z132" s="28">
        <v>922</v>
      </c>
      <c r="AA132" s="28">
        <v>922</v>
      </c>
      <c r="AB132" s="28">
        <v>922</v>
      </c>
      <c r="AC132" s="28">
        <v>922</v>
      </c>
      <c r="AD132" s="28">
        <v>922</v>
      </c>
      <c r="AE132" s="28">
        <v>922</v>
      </c>
      <c r="AF132" s="28">
        <v>922</v>
      </c>
      <c r="AG132" s="28">
        <v>922</v>
      </c>
      <c r="AH132" s="28">
        <v>922</v>
      </c>
      <c r="AI132" s="28">
        <v>922</v>
      </c>
      <c r="AJ132" s="28">
        <v>922</v>
      </c>
      <c r="AK132" s="28">
        <v>922</v>
      </c>
      <c r="AL132" s="28">
        <v>922</v>
      </c>
      <c r="AM132" s="28">
        <v>922</v>
      </c>
      <c r="AN132" s="28">
        <v>922</v>
      </c>
      <c r="AO132" s="28">
        <v>922</v>
      </c>
      <c r="AP132" s="28">
        <v>922</v>
      </c>
      <c r="AQ132" s="28">
        <v>922</v>
      </c>
      <c r="AR132" s="28">
        <v>922</v>
      </c>
      <c r="AS132" s="28">
        <v>922</v>
      </c>
      <c r="AT132" s="28">
        <v>922</v>
      </c>
      <c r="AU132" s="28">
        <v>922</v>
      </c>
      <c r="AV132" s="28">
        <v>922</v>
      </c>
      <c r="AW132" s="28">
        <v>922</v>
      </c>
      <c r="AX132" s="28">
        <v>922</v>
      </c>
      <c r="AY132" s="28">
        <v>922</v>
      </c>
      <c r="AZ132" s="28">
        <v>922</v>
      </c>
      <c r="BA132" s="28">
        <v>922</v>
      </c>
      <c r="BB132" s="28">
        <v>922</v>
      </c>
      <c r="BC132" s="28">
        <v>922</v>
      </c>
      <c r="BD132" s="28">
        <v>922</v>
      </c>
      <c r="BE132" s="28">
        <v>922</v>
      </c>
      <c r="BF132" s="28">
        <v>922</v>
      </c>
      <c r="BG132" s="28">
        <v>922</v>
      </c>
      <c r="BH132" s="28">
        <v>922</v>
      </c>
      <c r="BI132" s="28">
        <v>922</v>
      </c>
      <c r="BJ132" s="28">
        <v>922</v>
      </c>
    </row>
    <row r="133" spans="1:62" x14ac:dyDescent="0.25">
      <c r="A133" s="28">
        <v>917.77</v>
      </c>
      <c r="B133" s="28">
        <v>918.88</v>
      </c>
      <c r="C133" s="28">
        <v>917.94</v>
      </c>
      <c r="D133" s="28">
        <v>919</v>
      </c>
      <c r="E133" s="28">
        <v>918.3</v>
      </c>
      <c r="F133" s="28">
        <v>918.2</v>
      </c>
      <c r="G133" s="28">
        <v>918.7</v>
      </c>
      <c r="H133" s="28">
        <v>918.6</v>
      </c>
      <c r="I133" s="28">
        <v>918.2</v>
      </c>
      <c r="J133" s="28">
        <v>918.21</v>
      </c>
      <c r="K133" s="28">
        <v>918.91</v>
      </c>
      <c r="L133" s="28">
        <v>919.08</v>
      </c>
      <c r="M133" s="28">
        <v>918.79</v>
      </c>
      <c r="N133" s="28">
        <v>917.96</v>
      </c>
      <c r="O133" s="28">
        <v>918.54</v>
      </c>
      <c r="P133" s="28">
        <v>918.82</v>
      </c>
      <c r="Q133" s="28">
        <v>919.4</v>
      </c>
      <c r="R133" s="28">
        <v>918.53</v>
      </c>
      <c r="S133" s="28">
        <v>918.2</v>
      </c>
      <c r="T133" s="28">
        <v>919.3</v>
      </c>
      <c r="U133" s="28">
        <v>919</v>
      </c>
      <c r="V133" s="28">
        <v>917.89</v>
      </c>
      <c r="W133" s="28">
        <v>918.3</v>
      </c>
      <c r="X133" s="28">
        <v>918.7</v>
      </c>
      <c r="Y133" s="28">
        <v>918.2</v>
      </c>
      <c r="Z133" s="28">
        <v>918.85</v>
      </c>
      <c r="AA133" s="28">
        <v>918.49</v>
      </c>
      <c r="AB133" s="28">
        <v>917.83</v>
      </c>
      <c r="AC133" s="28">
        <v>919.21</v>
      </c>
      <c r="AD133" s="28">
        <v>919.03</v>
      </c>
      <c r="AE133" s="28">
        <v>918.67</v>
      </c>
      <c r="AF133" s="28">
        <v>918.78</v>
      </c>
      <c r="AG133" s="28">
        <v>918.41</v>
      </c>
      <c r="AH133" s="28">
        <v>918.8</v>
      </c>
      <c r="AI133" s="28">
        <v>918.5</v>
      </c>
      <c r="AJ133" s="28">
        <v>918.8</v>
      </c>
      <c r="AK133" s="28">
        <v>918.59</v>
      </c>
      <c r="AL133" s="28">
        <v>918.56</v>
      </c>
      <c r="AM133" s="28">
        <v>918.21</v>
      </c>
      <c r="AN133" s="28">
        <v>918.23</v>
      </c>
      <c r="AO133" s="28">
        <v>918.05</v>
      </c>
      <c r="AP133" s="28">
        <v>917.5</v>
      </c>
      <c r="AQ133" s="28">
        <v>918.21</v>
      </c>
      <c r="AR133" s="28">
        <v>918.07</v>
      </c>
      <c r="AS133" s="28">
        <v>918.77</v>
      </c>
      <c r="AT133" s="28">
        <v>918.2</v>
      </c>
      <c r="AU133" s="28">
        <v>918.58</v>
      </c>
      <c r="AV133" s="28">
        <v>918.6</v>
      </c>
      <c r="AW133" s="28">
        <v>919.61</v>
      </c>
      <c r="AX133" s="28">
        <v>918.12</v>
      </c>
      <c r="AY133" s="28">
        <v>917.95</v>
      </c>
      <c r="AZ133" s="28">
        <v>918.46</v>
      </c>
      <c r="BA133" s="28">
        <v>918.54</v>
      </c>
      <c r="BB133" s="28">
        <v>919.11</v>
      </c>
      <c r="BC133" s="28">
        <v>918.4</v>
      </c>
      <c r="BD133" s="28">
        <v>918.44</v>
      </c>
      <c r="BE133" s="28">
        <v>919.89</v>
      </c>
      <c r="BF133" s="28">
        <v>918.99</v>
      </c>
      <c r="BG133" s="28">
        <v>918.24</v>
      </c>
      <c r="BH133" s="28">
        <v>917.91</v>
      </c>
      <c r="BI133" s="28">
        <v>918.21</v>
      </c>
      <c r="BJ133" s="28">
        <v>918.86</v>
      </c>
    </row>
    <row r="134" spans="1:62" x14ac:dyDescent="0.25">
      <c r="A134" s="28" t="s">
        <v>30</v>
      </c>
      <c r="B134" s="28" t="s">
        <v>31</v>
      </c>
      <c r="C134" s="28" t="s">
        <v>54</v>
      </c>
      <c r="D134" s="28" t="s">
        <v>55</v>
      </c>
      <c r="E134" s="28" t="s">
        <v>72</v>
      </c>
      <c r="F134" s="28" t="s">
        <v>73</v>
      </c>
      <c r="G134" s="28" t="s">
        <v>24</v>
      </c>
      <c r="H134" s="28">
        <v>62</v>
      </c>
    </row>
    <row r="135" spans="1:62" x14ac:dyDescent="0.25">
      <c r="A135" s="5">
        <v>46169</v>
      </c>
      <c r="B135" s="5">
        <v>46169</v>
      </c>
      <c r="C135" s="5">
        <v>46169</v>
      </c>
      <c r="D135" s="5">
        <v>46169</v>
      </c>
      <c r="E135" s="5">
        <v>46170</v>
      </c>
      <c r="F135" s="5">
        <v>46170</v>
      </c>
      <c r="G135" s="5">
        <v>46171</v>
      </c>
      <c r="H135" s="5">
        <v>46171</v>
      </c>
      <c r="I135" s="5">
        <v>46171</v>
      </c>
      <c r="J135" s="5">
        <v>46171</v>
      </c>
      <c r="K135" s="5">
        <v>46172</v>
      </c>
      <c r="L135" s="5">
        <v>46172</v>
      </c>
      <c r="M135" s="5">
        <v>46172</v>
      </c>
      <c r="N135" s="5">
        <v>46174</v>
      </c>
      <c r="O135" s="5">
        <v>46174</v>
      </c>
      <c r="P135" s="5">
        <v>46174</v>
      </c>
      <c r="Q135" s="5">
        <v>46174</v>
      </c>
      <c r="R135" s="5">
        <v>46175</v>
      </c>
      <c r="S135" s="5">
        <v>46175</v>
      </c>
      <c r="T135" s="5">
        <v>46175</v>
      </c>
      <c r="U135" s="5">
        <v>46176</v>
      </c>
      <c r="V135" s="5">
        <v>46176</v>
      </c>
      <c r="W135" s="5">
        <v>46176</v>
      </c>
      <c r="X135" s="5">
        <v>46176</v>
      </c>
      <c r="Y135" s="5">
        <v>46176</v>
      </c>
      <c r="Z135" s="5">
        <v>46176</v>
      </c>
      <c r="AA135" s="5">
        <v>46176</v>
      </c>
      <c r="AB135" s="5">
        <v>46177</v>
      </c>
      <c r="AC135" s="5">
        <v>46178</v>
      </c>
      <c r="AD135" s="5">
        <v>46178</v>
      </c>
      <c r="AE135" s="5">
        <v>46178</v>
      </c>
      <c r="AF135" s="5">
        <v>46179</v>
      </c>
      <c r="AG135" s="5">
        <v>46180</v>
      </c>
      <c r="AH135" s="5">
        <v>46180</v>
      </c>
      <c r="AI135" s="5">
        <v>46180</v>
      </c>
      <c r="AJ135" s="5">
        <v>46180</v>
      </c>
      <c r="AK135" s="5">
        <v>46181</v>
      </c>
      <c r="AL135" s="5">
        <v>46181</v>
      </c>
      <c r="AM135" s="5">
        <v>46181</v>
      </c>
      <c r="AN135" s="5">
        <v>46181</v>
      </c>
      <c r="AO135" s="5">
        <v>46181</v>
      </c>
      <c r="AP135" s="5">
        <v>46182</v>
      </c>
      <c r="AQ135" s="5">
        <v>46182</v>
      </c>
      <c r="AR135" s="5">
        <v>46182</v>
      </c>
      <c r="AS135" s="5">
        <v>46182</v>
      </c>
      <c r="AT135" s="5">
        <v>46182</v>
      </c>
      <c r="AU135" s="5">
        <v>46183</v>
      </c>
      <c r="AV135" s="5">
        <v>46183</v>
      </c>
      <c r="AW135" s="5">
        <v>46183</v>
      </c>
      <c r="AX135" s="5">
        <v>46183</v>
      </c>
      <c r="AY135" s="5">
        <v>46183</v>
      </c>
      <c r="AZ135" s="5">
        <v>46184</v>
      </c>
      <c r="BA135" s="5">
        <v>46184</v>
      </c>
      <c r="BB135" s="5">
        <v>46184</v>
      </c>
      <c r="BC135" s="5">
        <v>46184</v>
      </c>
      <c r="BD135" s="5">
        <v>46184</v>
      </c>
      <c r="BE135" s="5">
        <v>46185</v>
      </c>
      <c r="BF135" s="5">
        <v>46185</v>
      </c>
      <c r="BG135" s="5">
        <v>46185</v>
      </c>
      <c r="BH135" s="5">
        <v>46185</v>
      </c>
      <c r="BI135" s="5">
        <v>46186</v>
      </c>
      <c r="BJ135" s="5">
        <v>46186</v>
      </c>
    </row>
    <row r="136" spans="1:62" x14ac:dyDescent="0.25">
      <c r="A136" s="28">
        <v>816948</v>
      </c>
      <c r="B136" s="28">
        <v>816987</v>
      </c>
      <c r="C136" s="28">
        <v>816998</v>
      </c>
      <c r="D136" s="28">
        <v>817092</v>
      </c>
      <c r="E136" s="28">
        <v>817353</v>
      </c>
      <c r="F136" s="28">
        <v>817441</v>
      </c>
      <c r="G136" s="28">
        <v>817773</v>
      </c>
      <c r="H136" s="28">
        <v>817861</v>
      </c>
      <c r="I136" s="28">
        <v>817943</v>
      </c>
      <c r="J136" s="28">
        <v>817985</v>
      </c>
      <c r="K136" s="28">
        <v>818214</v>
      </c>
      <c r="L136" s="28">
        <v>818254</v>
      </c>
      <c r="M136" s="28">
        <v>818291</v>
      </c>
      <c r="N136" s="28">
        <v>818439</v>
      </c>
      <c r="O136" s="28">
        <v>818580</v>
      </c>
      <c r="P136" s="28">
        <v>818627</v>
      </c>
      <c r="Q136" s="28">
        <v>818667</v>
      </c>
      <c r="R136" s="28">
        <v>818839</v>
      </c>
      <c r="S136" s="28">
        <v>818934</v>
      </c>
      <c r="T136" s="28">
        <v>819019</v>
      </c>
      <c r="U136" s="28">
        <v>819103</v>
      </c>
      <c r="V136" s="28">
        <v>819271</v>
      </c>
      <c r="W136" s="28">
        <v>819315</v>
      </c>
      <c r="X136" s="28">
        <v>819370</v>
      </c>
      <c r="Y136" s="28">
        <v>819445</v>
      </c>
      <c r="Z136" s="28">
        <v>819491</v>
      </c>
      <c r="AA136" s="28">
        <v>819533</v>
      </c>
      <c r="AB136" s="28">
        <v>819706</v>
      </c>
      <c r="AC136" s="28">
        <v>819995</v>
      </c>
      <c r="AD136" s="28">
        <v>820041</v>
      </c>
      <c r="AE136" s="28">
        <v>820088</v>
      </c>
      <c r="AF136" s="28">
        <v>820271</v>
      </c>
      <c r="AG136" s="28">
        <v>820495</v>
      </c>
      <c r="AH136" s="28">
        <v>820568</v>
      </c>
      <c r="AI136" s="28">
        <v>820630</v>
      </c>
      <c r="AJ136" s="28">
        <v>820670</v>
      </c>
      <c r="AK136" s="28">
        <v>820873</v>
      </c>
      <c r="AL136" s="28">
        <v>820921</v>
      </c>
      <c r="AM136" s="28">
        <v>820957</v>
      </c>
      <c r="AN136" s="28">
        <v>821024</v>
      </c>
      <c r="AO136" s="28">
        <v>821060</v>
      </c>
      <c r="AP136" s="28">
        <v>821288</v>
      </c>
      <c r="AQ136" s="28">
        <v>821319</v>
      </c>
      <c r="AR136" s="28">
        <v>821356</v>
      </c>
      <c r="AS136" s="28">
        <v>821451</v>
      </c>
      <c r="AT136" s="28">
        <v>821500</v>
      </c>
      <c r="AU136" s="28">
        <v>821710</v>
      </c>
      <c r="AV136" s="28">
        <v>821754</v>
      </c>
      <c r="AW136" s="28">
        <v>821805</v>
      </c>
      <c r="AX136" s="28">
        <v>821885</v>
      </c>
      <c r="AY136" s="28">
        <v>821931</v>
      </c>
      <c r="AZ136" s="28">
        <v>822143</v>
      </c>
      <c r="BA136" s="28">
        <v>822185</v>
      </c>
      <c r="BB136" s="28">
        <v>822236</v>
      </c>
      <c r="BC136" s="28">
        <v>822306</v>
      </c>
      <c r="BD136" s="28">
        <v>822352</v>
      </c>
      <c r="BE136" s="28">
        <v>822558</v>
      </c>
      <c r="BF136" s="28">
        <v>822647</v>
      </c>
      <c r="BG136" s="28">
        <v>822737</v>
      </c>
      <c r="BH136" s="28">
        <v>822777</v>
      </c>
      <c r="BI136" s="28">
        <v>823003</v>
      </c>
      <c r="BJ136" s="28">
        <v>823082</v>
      </c>
    </row>
    <row r="137" spans="1:62" x14ac:dyDescent="0.25">
      <c r="A137" s="28">
        <v>919.2</v>
      </c>
      <c r="B137" s="28">
        <v>919.2</v>
      </c>
      <c r="C137" s="28">
        <v>919.2</v>
      </c>
      <c r="D137" s="28">
        <v>919.2</v>
      </c>
      <c r="E137" s="28">
        <v>919.2</v>
      </c>
      <c r="F137" s="28">
        <v>919.2</v>
      </c>
      <c r="G137" s="28">
        <v>919.2</v>
      </c>
      <c r="H137" s="28">
        <v>919.2</v>
      </c>
      <c r="I137" s="28">
        <v>919.2</v>
      </c>
      <c r="J137" s="28">
        <v>919.2</v>
      </c>
      <c r="K137" s="28">
        <v>919.2</v>
      </c>
      <c r="L137" s="28">
        <v>919.2</v>
      </c>
      <c r="M137" s="28">
        <v>919.2</v>
      </c>
      <c r="N137" s="28">
        <v>919.2</v>
      </c>
      <c r="O137" s="28">
        <v>919.2</v>
      </c>
      <c r="P137" s="28">
        <v>919.2</v>
      </c>
      <c r="Q137" s="28">
        <v>919.2</v>
      </c>
      <c r="R137" s="28">
        <v>919.2</v>
      </c>
      <c r="S137" s="28">
        <v>919.2</v>
      </c>
      <c r="T137" s="28">
        <v>919.2</v>
      </c>
      <c r="U137" s="28">
        <v>919.2</v>
      </c>
      <c r="V137" s="28">
        <v>919.2</v>
      </c>
      <c r="W137" s="28">
        <v>919.2</v>
      </c>
      <c r="X137" s="28">
        <v>919.2</v>
      </c>
      <c r="Y137" s="28">
        <v>919.2</v>
      </c>
      <c r="Z137" s="28">
        <v>919.2</v>
      </c>
      <c r="AA137" s="28">
        <v>919.2</v>
      </c>
      <c r="AB137" s="28">
        <v>919.2</v>
      </c>
      <c r="AC137" s="28">
        <v>919.2</v>
      </c>
      <c r="AD137" s="28">
        <v>919.2</v>
      </c>
      <c r="AE137" s="28">
        <v>919.2</v>
      </c>
      <c r="AF137" s="28">
        <v>919.2</v>
      </c>
      <c r="AG137" s="28">
        <v>919.2</v>
      </c>
      <c r="AH137" s="28">
        <v>919.2</v>
      </c>
      <c r="AI137" s="28">
        <v>919.2</v>
      </c>
      <c r="AJ137" s="28">
        <v>919.2</v>
      </c>
      <c r="AK137" s="28">
        <v>919.2</v>
      </c>
      <c r="AL137" s="28">
        <v>919.2</v>
      </c>
      <c r="AM137" s="28">
        <v>919.2</v>
      </c>
      <c r="AN137" s="28">
        <v>919.2</v>
      </c>
      <c r="AO137" s="28">
        <v>919.2</v>
      </c>
      <c r="AP137" s="28">
        <v>919.2</v>
      </c>
      <c r="AQ137" s="28">
        <v>919.2</v>
      </c>
      <c r="AR137" s="28">
        <v>919.2</v>
      </c>
      <c r="AS137" s="28">
        <v>919.2</v>
      </c>
      <c r="AT137" s="28">
        <v>919.2</v>
      </c>
      <c r="AU137" s="28">
        <v>919.2</v>
      </c>
      <c r="AV137" s="28">
        <v>919.2</v>
      </c>
      <c r="AW137" s="28">
        <v>919.2</v>
      </c>
      <c r="AX137" s="28">
        <v>919.2</v>
      </c>
      <c r="AY137" s="28">
        <v>919.2</v>
      </c>
      <c r="AZ137" s="28">
        <v>919.2</v>
      </c>
      <c r="BA137" s="28">
        <v>919.2</v>
      </c>
      <c r="BB137" s="28">
        <v>919.2</v>
      </c>
      <c r="BC137" s="28">
        <v>919.2</v>
      </c>
      <c r="BD137" s="28">
        <v>919.2</v>
      </c>
      <c r="BE137" s="28">
        <v>919.2</v>
      </c>
      <c r="BF137" s="28">
        <v>919.2</v>
      </c>
      <c r="BG137" s="28">
        <v>919.2</v>
      </c>
      <c r="BH137" s="28">
        <v>919.2</v>
      </c>
      <c r="BI137" s="28">
        <v>919.2</v>
      </c>
      <c r="BJ137" s="28">
        <v>919.2</v>
      </c>
    </row>
    <row r="138" spans="1:62" x14ac:dyDescent="0.25">
      <c r="A138" s="28">
        <v>915.2</v>
      </c>
      <c r="B138" s="28">
        <v>915.2</v>
      </c>
      <c r="C138" s="28">
        <v>915.2</v>
      </c>
      <c r="D138" s="28">
        <v>915.2</v>
      </c>
      <c r="E138" s="28">
        <v>915.2</v>
      </c>
      <c r="F138" s="28">
        <v>915.2</v>
      </c>
      <c r="G138" s="28">
        <v>915.2</v>
      </c>
      <c r="H138" s="28">
        <v>915.2</v>
      </c>
      <c r="I138" s="28">
        <v>915.2</v>
      </c>
      <c r="J138" s="28">
        <v>915.2</v>
      </c>
      <c r="K138" s="28">
        <v>915.2</v>
      </c>
      <c r="L138" s="28">
        <v>915.2</v>
      </c>
      <c r="M138" s="28">
        <v>915.2</v>
      </c>
      <c r="N138" s="28">
        <v>915.2</v>
      </c>
      <c r="O138" s="28">
        <v>915.2</v>
      </c>
      <c r="P138" s="28">
        <v>915.2</v>
      </c>
      <c r="Q138" s="28">
        <v>915.2</v>
      </c>
      <c r="R138" s="28">
        <v>915.2</v>
      </c>
      <c r="S138" s="28">
        <v>915.2</v>
      </c>
      <c r="T138" s="28">
        <v>915.2</v>
      </c>
      <c r="U138" s="28">
        <v>915.2</v>
      </c>
      <c r="V138" s="28">
        <v>915.2</v>
      </c>
      <c r="W138" s="28">
        <v>915.2</v>
      </c>
      <c r="X138" s="28">
        <v>915.2</v>
      </c>
      <c r="Y138" s="28">
        <v>915.2</v>
      </c>
      <c r="Z138" s="28">
        <v>915.2</v>
      </c>
      <c r="AA138" s="28">
        <v>915.2</v>
      </c>
      <c r="AB138" s="28">
        <v>915.2</v>
      </c>
      <c r="AC138" s="28">
        <v>915.2</v>
      </c>
      <c r="AD138" s="28">
        <v>915.2</v>
      </c>
      <c r="AE138" s="28">
        <v>915.2</v>
      </c>
      <c r="AF138" s="28">
        <v>915.2</v>
      </c>
      <c r="AG138" s="28">
        <v>915.2</v>
      </c>
      <c r="AH138" s="28">
        <v>915.2</v>
      </c>
      <c r="AI138" s="28">
        <v>915.2</v>
      </c>
      <c r="AJ138" s="28">
        <v>915.2</v>
      </c>
      <c r="AK138" s="28">
        <v>915.2</v>
      </c>
      <c r="AL138" s="28">
        <v>915.2</v>
      </c>
      <c r="AM138" s="28">
        <v>915.2</v>
      </c>
      <c r="AN138" s="28">
        <v>915.2</v>
      </c>
      <c r="AO138" s="28">
        <v>915.2</v>
      </c>
      <c r="AP138" s="28">
        <v>915.2</v>
      </c>
      <c r="AQ138" s="28">
        <v>915.2</v>
      </c>
      <c r="AR138" s="28">
        <v>915.2</v>
      </c>
      <c r="AS138" s="28">
        <v>915.2</v>
      </c>
      <c r="AT138" s="28">
        <v>915.2</v>
      </c>
      <c r="AU138" s="28">
        <v>915.2</v>
      </c>
      <c r="AV138" s="28">
        <v>915.2</v>
      </c>
      <c r="AW138" s="28">
        <v>915.2</v>
      </c>
      <c r="AX138" s="28">
        <v>915.2</v>
      </c>
      <c r="AY138" s="28">
        <v>915.2</v>
      </c>
      <c r="AZ138" s="28">
        <v>915.2</v>
      </c>
      <c r="BA138" s="28">
        <v>915.2</v>
      </c>
      <c r="BB138" s="28">
        <v>915.2</v>
      </c>
      <c r="BC138" s="28">
        <v>915.2</v>
      </c>
      <c r="BD138" s="28">
        <v>915.2</v>
      </c>
      <c r="BE138" s="28">
        <v>915.2</v>
      </c>
      <c r="BF138" s="28">
        <v>915.2</v>
      </c>
      <c r="BG138" s="28">
        <v>915.2</v>
      </c>
      <c r="BH138" s="28">
        <v>915.2</v>
      </c>
      <c r="BI138" s="28">
        <v>915.2</v>
      </c>
      <c r="BJ138" s="28">
        <v>915.2</v>
      </c>
    </row>
    <row r="139" spans="1:62" x14ac:dyDescent="0.25">
      <c r="A139" s="28">
        <v>923.2</v>
      </c>
      <c r="B139" s="28">
        <v>923.2</v>
      </c>
      <c r="C139" s="28">
        <v>923.2</v>
      </c>
      <c r="D139" s="28">
        <v>923.2</v>
      </c>
      <c r="E139" s="28">
        <v>923.2</v>
      </c>
      <c r="F139" s="28">
        <v>923.2</v>
      </c>
      <c r="G139" s="28">
        <v>923.2</v>
      </c>
      <c r="H139" s="28">
        <v>923.2</v>
      </c>
      <c r="I139" s="28">
        <v>923.2</v>
      </c>
      <c r="J139" s="28">
        <v>923.2</v>
      </c>
      <c r="K139" s="28">
        <v>923.2</v>
      </c>
      <c r="L139" s="28">
        <v>923.2</v>
      </c>
      <c r="M139" s="28">
        <v>923.2</v>
      </c>
      <c r="N139" s="28">
        <v>923.2</v>
      </c>
      <c r="O139" s="28">
        <v>923.2</v>
      </c>
      <c r="P139" s="28">
        <v>923.2</v>
      </c>
      <c r="Q139" s="28">
        <v>923.2</v>
      </c>
      <c r="R139" s="28">
        <v>923.2</v>
      </c>
      <c r="S139" s="28">
        <v>923.2</v>
      </c>
      <c r="T139" s="28">
        <v>923.2</v>
      </c>
      <c r="U139" s="28">
        <v>923.2</v>
      </c>
      <c r="V139" s="28">
        <v>923.2</v>
      </c>
      <c r="W139" s="28">
        <v>923.2</v>
      </c>
      <c r="X139" s="28">
        <v>923.2</v>
      </c>
      <c r="Y139" s="28">
        <v>923.2</v>
      </c>
      <c r="Z139" s="28">
        <v>923.2</v>
      </c>
      <c r="AA139" s="28">
        <v>923.2</v>
      </c>
      <c r="AB139" s="28">
        <v>923.2</v>
      </c>
      <c r="AC139" s="28">
        <v>923.2</v>
      </c>
      <c r="AD139" s="28">
        <v>923.2</v>
      </c>
      <c r="AE139" s="28">
        <v>923.2</v>
      </c>
      <c r="AF139" s="28">
        <v>923.2</v>
      </c>
      <c r="AG139" s="28">
        <v>923.2</v>
      </c>
      <c r="AH139" s="28">
        <v>923.2</v>
      </c>
      <c r="AI139" s="28">
        <v>923.2</v>
      </c>
      <c r="AJ139" s="28">
        <v>923.2</v>
      </c>
      <c r="AK139" s="28">
        <v>923.2</v>
      </c>
      <c r="AL139" s="28">
        <v>923.2</v>
      </c>
      <c r="AM139" s="28">
        <v>923.2</v>
      </c>
      <c r="AN139" s="28">
        <v>923.2</v>
      </c>
      <c r="AO139" s="28">
        <v>923.2</v>
      </c>
      <c r="AP139" s="28">
        <v>923.2</v>
      </c>
      <c r="AQ139" s="28">
        <v>923.2</v>
      </c>
      <c r="AR139" s="28">
        <v>923.2</v>
      </c>
      <c r="AS139" s="28">
        <v>923.2</v>
      </c>
      <c r="AT139" s="28">
        <v>923.2</v>
      </c>
      <c r="AU139" s="28">
        <v>923.2</v>
      </c>
      <c r="AV139" s="28">
        <v>923.2</v>
      </c>
      <c r="AW139" s="28">
        <v>923.2</v>
      </c>
      <c r="AX139" s="28">
        <v>923.2</v>
      </c>
      <c r="AY139" s="28">
        <v>923.2</v>
      </c>
      <c r="AZ139" s="28">
        <v>923.2</v>
      </c>
      <c r="BA139" s="28">
        <v>923.2</v>
      </c>
      <c r="BB139" s="28">
        <v>923.2</v>
      </c>
      <c r="BC139" s="28">
        <v>923.2</v>
      </c>
      <c r="BD139" s="28">
        <v>923.2</v>
      </c>
      <c r="BE139" s="28">
        <v>923.2</v>
      </c>
      <c r="BF139" s="28">
        <v>923.2</v>
      </c>
      <c r="BG139" s="28">
        <v>923.2</v>
      </c>
      <c r="BH139" s="28">
        <v>923.2</v>
      </c>
      <c r="BI139" s="28">
        <v>923.2</v>
      </c>
      <c r="BJ139" s="28">
        <v>923.2</v>
      </c>
    </row>
    <row r="140" spans="1:62" x14ac:dyDescent="0.25">
      <c r="A140" s="28">
        <v>920.19</v>
      </c>
      <c r="B140" s="28">
        <v>919.36</v>
      </c>
      <c r="C140" s="28">
        <v>920.29</v>
      </c>
      <c r="D140" s="28">
        <v>919.3</v>
      </c>
      <c r="E140" s="28">
        <v>920.5</v>
      </c>
      <c r="F140" s="28">
        <v>919.8</v>
      </c>
      <c r="G140" s="28">
        <v>920.6</v>
      </c>
      <c r="H140" s="28">
        <v>919.7</v>
      </c>
      <c r="I140" s="28">
        <v>920.7</v>
      </c>
      <c r="J140" s="28">
        <v>920.91</v>
      </c>
      <c r="K140" s="28">
        <v>919.45</v>
      </c>
      <c r="L140" s="28">
        <v>919.23</v>
      </c>
      <c r="M140" s="28">
        <v>919.29</v>
      </c>
      <c r="N140" s="28">
        <v>920.55</v>
      </c>
      <c r="O140" s="28">
        <v>919.52</v>
      </c>
      <c r="P140" s="28">
        <v>920.16</v>
      </c>
      <c r="Q140" s="28">
        <v>919.22</v>
      </c>
      <c r="R140" s="28">
        <v>919.57</v>
      </c>
      <c r="S140" s="28">
        <v>920.7</v>
      </c>
      <c r="T140" s="28">
        <v>919.2</v>
      </c>
      <c r="U140" s="28">
        <v>920.4</v>
      </c>
      <c r="V140" s="28">
        <v>919.87</v>
      </c>
      <c r="W140" s="28">
        <v>920.6</v>
      </c>
      <c r="X140" s="28">
        <v>920.8</v>
      </c>
      <c r="Y140" s="28">
        <v>920.6</v>
      </c>
      <c r="Z140" s="28">
        <v>919.77</v>
      </c>
      <c r="AA140" s="28">
        <v>920.74</v>
      </c>
      <c r="AB140" s="28">
        <v>920.72</v>
      </c>
      <c r="AC140" s="28">
        <v>921.13</v>
      </c>
      <c r="AD140" s="28">
        <v>921.23</v>
      </c>
      <c r="AE140" s="28">
        <v>920.37</v>
      </c>
      <c r="AF140" s="28">
        <v>919.93</v>
      </c>
      <c r="AG140" s="28">
        <v>920.77</v>
      </c>
      <c r="AH140" s="28">
        <v>920.31</v>
      </c>
      <c r="AI140" s="28">
        <v>920.2</v>
      </c>
      <c r="AJ140" s="28">
        <v>921.11</v>
      </c>
      <c r="AK140" s="28">
        <v>920.98</v>
      </c>
      <c r="AL140" s="28">
        <v>920.16</v>
      </c>
      <c r="AM140" s="28">
        <v>920.31</v>
      </c>
      <c r="AN140" s="28">
        <v>920.67</v>
      </c>
      <c r="AO140" s="28">
        <v>920.62</v>
      </c>
      <c r="AP140" s="28">
        <v>922.21</v>
      </c>
      <c r="AQ140" s="28">
        <v>921.34</v>
      </c>
      <c r="AR140" s="28">
        <v>921.7</v>
      </c>
      <c r="AS140" s="28">
        <v>920.53</v>
      </c>
      <c r="AT140" s="28">
        <v>920.55</v>
      </c>
      <c r="AU140" s="28">
        <v>920.65</v>
      </c>
      <c r="AV140" s="28">
        <v>920.2</v>
      </c>
      <c r="AW140" s="28">
        <v>920.6</v>
      </c>
      <c r="AX140" s="28">
        <v>921.02</v>
      </c>
      <c r="AY140" s="28">
        <v>920.82</v>
      </c>
      <c r="AZ140" s="28">
        <v>921.14</v>
      </c>
      <c r="BA140" s="28">
        <v>921.29</v>
      </c>
      <c r="BB140" s="28">
        <v>920.53</v>
      </c>
      <c r="BC140" s="28">
        <v>920.21</v>
      </c>
      <c r="BD140" s="28">
        <v>921.09</v>
      </c>
      <c r="BE140" s="28">
        <v>920.03</v>
      </c>
      <c r="BF140" s="28">
        <v>921.01</v>
      </c>
      <c r="BG140" s="28">
        <v>921.25</v>
      </c>
      <c r="BH140" s="28">
        <v>922.55</v>
      </c>
      <c r="BI140" s="28">
        <v>921.14</v>
      </c>
      <c r="BJ140" s="28">
        <v>919.85</v>
      </c>
    </row>
    <row r="141" spans="1:62" x14ac:dyDescent="0.25">
      <c r="A141" s="28" t="s">
        <v>30</v>
      </c>
      <c r="B141" s="28" t="s">
        <v>31</v>
      </c>
      <c r="C141" s="28" t="s">
        <v>54</v>
      </c>
      <c r="D141" s="28" t="s">
        <v>55</v>
      </c>
      <c r="E141" s="28" t="s">
        <v>74</v>
      </c>
      <c r="F141" s="28" t="s">
        <v>75</v>
      </c>
      <c r="G141" s="28" t="s">
        <v>25</v>
      </c>
      <c r="H141" s="28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Hexagon</dc:creator>
  <cp:lastModifiedBy>Hexagon</cp:lastModifiedBy>
  <cp:lastPrinted>2026-04-21T10:00:50Z</cp:lastPrinted>
  <dcterms:created xsi:type="dcterms:W3CDTF">2006-09-16T00:00:00Z</dcterms:created>
  <dcterms:modified xsi:type="dcterms:W3CDTF">2026-06-15T14:57:58Z</dcterms:modified>
</cp:coreProperties>
</file>