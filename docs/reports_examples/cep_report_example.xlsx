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105" windowWidth="14805" windowHeight="8010"/>
  </bookViews>
  <sheets>
    <sheet name="report" sheetId="1" r:id="rId1"/>
    <sheet name="data" sheetId="2" r:id="rId2"/>
  </sheets>
  <definedNames>
    <definedName name="_xlnm._FilterDatabase" localSheetId="0" hidden="1">report!$J$4:$P$109</definedName>
    <definedName name="G1_Data">OFFSET(INDEX(data!$E:$E,MATCH(report!$B$5,data!$E:$E,0)),-1,(report!$H$5-5)-(report!$B$7-1),1,report!$B$7)</definedName>
    <definedName name="G1_Lie">OFFSET(INDEX(data!$E:$E,MATCH(report!$B$5,data!$E:$E,0)),-3,(report!$H$5-5)-(report!$B$7-1),1,report!$B$7)</definedName>
    <definedName name="G1_Lse">OFFSET(INDEX(data!$E:$E,MATCH(report!$B$5,data!$E:$E,0)),-2,(report!$H$5-5)-(report!$B$7-1),1,report!$B$7)</definedName>
    <definedName name="G1_Nominal">OFFSET(INDEX(data!$E:$E,MATCH(report!$B$5,data!$E:$E,0)),-4,(report!$H$5-5)-(report!$B$7-1),1,report!$B$7)</definedName>
    <definedName name="G1_XValues">OFFSET(INDEX(data!$E:$E,MATCH(report!$B$5,data!$E:$E,0)),-6,(report!$H$5-5)-(report!$B$7-1),2,report!$B$7)</definedName>
    <definedName name="G10_Data">OFFSET(INDEX(data!$E:$E,MATCH(report!$B$50,data!$E:$E,0)),-1,(report!$H$50-5)-(report!$B$52-1),1,report!$B$52)</definedName>
    <definedName name="G10_Lie">OFFSET(INDEX(data!$E:$E,MATCH(report!$B$50,data!$E:$E,0)),-3,(report!$H$50-5)-(report!$B$52-1),1,report!$B$52)</definedName>
    <definedName name="G10_Lse">OFFSET(INDEX(data!$E:$E,MATCH(report!$B$50,data!$E:$E,0)),-2,(report!$H$50-5)-(report!$B$52-1),1,report!$B$52)</definedName>
    <definedName name="G10_Nominal">OFFSET(INDEX(data!$E:$E,MATCH(report!$B$50,data!$E:$E,0)),-4,(report!$H$50-5)-(report!$B$52-1),1,report!$B$52)</definedName>
    <definedName name="G10_XValues">OFFSET(INDEX(data!$E:$E,MATCH(report!$B$50,data!$E:$E,0)),-6,(report!$H$50-5)-(report!$B$52-1),2,report!$B$52)</definedName>
    <definedName name="G11_Data">OFFSET(INDEX(data!$E:$E,MATCH(report!$B$55,data!$E:$E,0)),-1,(report!$H$55-5)-(report!$B$57-1),1,report!$B$57)</definedName>
    <definedName name="G11_Lie">OFFSET(INDEX(data!$E:$E,MATCH(report!$B$55,data!$E:$E,0)),-3,(report!$H$55-5)-(report!$B$57-1),1,report!$B$57)</definedName>
    <definedName name="G11_Lse">OFFSET(INDEX(data!$E:$E,MATCH(report!$B$55,data!$E:$E,0)),-2,(report!$H$55-5)-(report!$B$57-1),1,report!$B$57)</definedName>
    <definedName name="G11_Nominal">OFFSET(INDEX(data!$E:$E,MATCH(report!$B$55,data!$E:$E,0)),-4,(report!$H$55-5)-(report!$B$57-1),1,report!$B$57)</definedName>
    <definedName name="G11_XValues">OFFSET(INDEX(data!$E:$E,MATCH(report!$B$55,data!$E:$E,0)),-6,(report!$H$55-5)-(report!$B$57-1),2,report!$B$57)</definedName>
    <definedName name="G12_Data">OFFSET(INDEX(data!$E:$E,MATCH(report!$B$60,data!$E:$E,0)),-1,(report!$H$60-5)-(report!$B$62-1),1,report!$B$62)</definedName>
    <definedName name="G12_Lie">OFFSET(INDEX(data!$E:$E,MATCH(report!$B$60,data!$E:$E,0)),-3,(report!$H$60-5)-(report!$B$62-1),1,report!$B$62)</definedName>
    <definedName name="G12_Lse">OFFSET(INDEX(data!$E:$E,MATCH(report!$B$60,data!$E:$E,0)),-2,(report!$H$60-5)-(report!$B$62-1),1,report!$B$62)</definedName>
    <definedName name="G12_Nominal">OFFSET(INDEX(data!$E:$E,MATCH(report!$B$60,data!$E:$E,0)),-4,(report!$H$60-5)-(report!$B$62-1),1,report!$B$62)</definedName>
    <definedName name="G12_XValues">OFFSET(INDEX(data!$E:$E,MATCH(report!$B$60,data!$E:$E,0)),-6,(report!$H$60-5)-(report!$B$62-1),2,report!$B$62)</definedName>
    <definedName name="G13_Data">OFFSET(INDEX(data!$E:$E,MATCH(report!$B$65,data!$E:$E,0)),-1,(report!$H$65-5)-(report!$B$67-1),1,report!$B$67)</definedName>
    <definedName name="G13_Lie">OFFSET(INDEX(data!$E:$E,MATCH(report!$B$65,data!$E:$E,0)),-3,(report!$H$65-5)-(report!$B$67-1),1,report!$B$67)</definedName>
    <definedName name="G13_Lse">OFFSET(INDEX(data!$E:$E,MATCH(report!$B$65,data!$E:$E,0)),-2,(report!$H$65-5)-(report!$B$67-1),1,report!$B$67)</definedName>
    <definedName name="G13_Nominal">OFFSET(INDEX(data!$E:$E,MATCH(report!$B$65,data!$E:$E,0)),-4,(report!$H$65-5)-(report!$B$67-1),1,report!$B$67)</definedName>
    <definedName name="G13_XValues">OFFSET(INDEX(data!$E:$E,MATCH(report!$B$65,data!$E:$E,0)),-6,(report!$H$65-5)-(report!$B$67-1),2,report!$B$67)</definedName>
    <definedName name="G14_Data">OFFSET(INDEX(data!$E:$E,MATCH(report!$B$70,data!$E:$E,0)),-1,(report!$H$70-5)-(report!$B$72-1),1,report!$B$72)</definedName>
    <definedName name="G14_Lie">OFFSET(INDEX(data!$E:$E,MATCH(report!$B$70,data!$E:$E,0)),-3,(report!$H$70-5)-(report!$B$72-1),1,report!$B$72)</definedName>
    <definedName name="G14_Lse">OFFSET(INDEX(data!$E:$E,MATCH(report!$B$70,data!$E:$E,0)),-2,(report!$H$70-5)-(report!$B$72-1),1,report!$B$72)</definedName>
    <definedName name="G14_Nominal">OFFSET(INDEX(data!$E:$E,MATCH(report!$B$70,data!$E:$E,0)),-4,(report!$H$70-5)-(report!$B$72-1),1,report!$B$72)</definedName>
    <definedName name="G14_XValues">OFFSET(INDEX(data!$E:$E,MATCH(report!$B$70,data!$E:$E,0)),-6,(report!$H$70-5)-(report!$B$72-1),2,report!$B$72)</definedName>
    <definedName name="G15_Data">OFFSET(INDEX(data!$E:$E,MATCH(report!$B$75,data!$E:$E,0)),-1,(report!$H$75-5)-(report!$B$77-1),1,report!$B$77)</definedName>
    <definedName name="G15_Lie">OFFSET(INDEX(data!$E:$E,MATCH(report!$B$75,data!$E:$E,0)),-3,(report!$H$75-5)-(report!$B$77-1),1,report!$B$77)</definedName>
    <definedName name="G15_Lse">OFFSET(INDEX(data!$E:$E,MATCH(report!$B$75,data!$E:$E,0)),-2,(report!$H$75-5)-(report!$B$77-1),1,report!$B$77)</definedName>
    <definedName name="G15_Nominal">OFFSET(INDEX(data!$E:$E,MATCH(report!$B$75,data!$E:$E,0)),-4,(report!$H$75-5)-(report!$B$77-1),1,report!$B$77)</definedName>
    <definedName name="G15_XValues">OFFSET(INDEX(data!$E:$E,MATCH(report!$B$75,data!$E:$E,0)),-6,(report!$H$75-5)-(report!$B$77-1),2,report!$B$77)</definedName>
    <definedName name="G16_Data">OFFSET(INDEX(data!$E:$E,MATCH(report!$B$80,data!$E:$E,0)),-1,(report!$H$80-5)-(report!$B$82-1),1,report!$B$82)</definedName>
    <definedName name="G16_Lie">OFFSET(INDEX(data!$E:$E,MATCH(report!$B$80,data!$E:$E,0)),-3,(report!$H$80-5)-(report!$B$82-1),1,report!$B$82)</definedName>
    <definedName name="G16_Lse">OFFSET(INDEX(data!$E:$E,MATCH(report!$B$80,data!$E:$E,0)),-2,(report!$H$80-5)-(report!$B$82-1),1,report!$B$82)</definedName>
    <definedName name="G16_Nominal">OFFSET(INDEX(data!$E:$E,MATCH(report!$B$80,data!$E:$E,0)),-4,(report!$H$80-5)-(report!$B$82-1),1,report!$B$82)</definedName>
    <definedName name="G16_XValues">OFFSET(INDEX(data!$E:$E,MATCH(report!$B$80,data!$E:$E,0)),-6,(report!$H$80-5)-(report!$B$82-1),2,report!$B$82)</definedName>
    <definedName name="G17_Data">OFFSET(INDEX(data!$E:$E,MATCH(report!$B$85,data!$E:$E,0)),-1,(report!$H$85-5)-(report!$B$87-1),1,report!$B$87)</definedName>
    <definedName name="G17_Lie">OFFSET(INDEX(data!$E:$E,MATCH(report!$B$85,data!$E:$E,0)),-3,(report!$H$85-5)-(report!$B$87-1),1,report!$B$87)</definedName>
    <definedName name="G17_Lse">OFFSET(INDEX(data!$E:$E,MATCH(report!$B$85,data!$E:$E,0)),-2,(report!$H$85-5)-(report!$B$87-1),1,report!$B$87)</definedName>
    <definedName name="G17_Nominal">OFFSET(INDEX(data!$E:$E,MATCH(report!$B$85,data!$E:$E,0)),-4,(report!$H$85-5)-(report!$B$87-1),1,report!$B$87)</definedName>
    <definedName name="G17_XValues">OFFSET(INDEX(data!$E:$E,MATCH(report!$B$85,data!$E:$E,0)),-6,(report!$H$85-5)-(report!$B$87-1),2,report!$B$87)</definedName>
    <definedName name="G18_Data">OFFSET(INDEX(data!$E:$E,MATCH(report!$B$90,data!$E:$E,0)),-1,(report!$H$90-5)-(report!$B$92-1),1,report!$B$92)</definedName>
    <definedName name="G18_Lie">OFFSET(INDEX(data!$E:$E,MATCH(report!$B$90,data!$E:$E,0)),-3,(report!$H$90-5)-(report!$B$92-1),1,report!$B$92)</definedName>
    <definedName name="G18_Lse">OFFSET(INDEX(data!$E:$E,MATCH(report!$B$90,data!$E:$E,0)),-2,(report!$H$90-5)-(report!$B$92-1),1,report!$B$92)</definedName>
    <definedName name="G18_Nominal">OFFSET(INDEX(data!$E:$E,MATCH(report!$B$90,data!$E:$E,0)),-4,(report!$H$90-5)-(report!$B$92-1),1,report!$B$92)</definedName>
    <definedName name="G18_XValues">OFFSET(INDEX(data!$E:$E,MATCH(report!$B$90,data!$E:$E,0)),-6,(report!$H$90-5)-(report!$B$92-1),2,report!$B$92)</definedName>
    <definedName name="G19_Data">OFFSET(INDEX(data!$E:$E,MATCH(report!$B$95,data!$E:$E,0)),-1,(report!$H$95-5)-(report!$B$97-1),1,report!$B$97)</definedName>
    <definedName name="G19_Lie">OFFSET(INDEX(data!$E:$E,MATCH(report!$B$95,data!$E:$E,0)),-3,(report!$H$95-5)-(report!$B$97-1),1,report!$B$97)</definedName>
    <definedName name="G19_Lse">OFFSET(INDEX(data!$E:$E,MATCH(report!$B$95,data!$E:$E,0)),-2,(report!$H$95-5)-(report!$B$97-1),1,report!$B$97)</definedName>
    <definedName name="G19_Nominal">OFFSET(INDEX(data!$E:$E,MATCH(report!$B$95,data!$E:$E,0)),-4,(report!$H$95-5)-(report!$B$97-1),1,report!$B$97)</definedName>
    <definedName name="G19_XValues">OFFSET(INDEX(data!$E:$E,MATCH(report!$B$95,data!$E:$E,0)),-6,(report!$H$95-5)-(report!$B$97-1),2,report!$B$97)</definedName>
    <definedName name="G2_Data">OFFSET(INDEX(data!$E:$E,MATCH(report!$B$10,data!$E:$E,0)),-1,(report!$H$10-5)-(report!$B$12-1),1,report!$B$12)</definedName>
    <definedName name="G2_Lie">OFFSET(INDEX(data!$E:$E,MATCH(report!$B$10,data!$E:$E,0)),-3,(report!$H$10-5)-(report!$B$12-1),1,report!$B$12)</definedName>
    <definedName name="G2_Lse">OFFSET(INDEX(data!$E:$E,MATCH(report!$B$10,data!$E:$E,0)),-2,(report!$H$10-5)-(report!$B$12-1),1,report!$B$12)</definedName>
    <definedName name="G2_Nominal">OFFSET(INDEX(data!$E:$E,MATCH(report!$B$10,data!$E:$E,0)),-4,(report!$H$10-5)-(report!$B$12-1),1,report!$B$12)</definedName>
    <definedName name="G2_XValues">OFFSET(INDEX(data!$E:$E,MATCH(report!$B$10,data!$E:$E,0)),-6,(report!$H$10-5)-(report!$B$12-1),2,report!$B$12)</definedName>
    <definedName name="G20_Data">OFFSET(INDEX(data!$E:$E,MATCH(report!$B$100,data!$E:$E,0)),-1,(report!$H$100-5)-(report!$B$102-1),1,report!$B$102)</definedName>
    <definedName name="G20_Lie">OFFSET(INDEX(data!$E:$E,MATCH(report!$B$100,data!$E:$E,0)),-3,(report!$H$100-5)-(report!$B$102-1),1,report!$B$102)</definedName>
    <definedName name="G20_Lse">OFFSET(INDEX(data!$E:$E,MATCH(report!$B$100,data!$E:$E,0)),-2,(report!$H$100-5)-(report!$B$102-1),1,report!$B$102)</definedName>
    <definedName name="G20_Nominal">OFFSET(INDEX(data!$E:$E,MATCH(report!$B$100,data!$E:$E,0)),-4,(report!$H$100-5)-(report!$B$102-1),1,report!$B$102)</definedName>
    <definedName name="G20_XValues">OFFSET(INDEX(data!$E:$E,MATCH(report!$B$100,data!$E:$E,0)),-6,(report!$H$100-5)-(report!$B$102-1),2,report!$B$102)</definedName>
    <definedName name="G3_Data">OFFSET(INDEX(data!$E:$E,MATCH(report!$B$15,data!$E:$E,0)),-1,(report!$H$15-5)-(report!$B$17-1),1,report!$B$17)</definedName>
    <definedName name="G3_Lie">OFFSET(INDEX(data!$E:$E,MATCH(report!$B$15,data!$E:$E,0)),-3,(report!$H$15-5)-(report!$B$17-1),1,report!$B$17)</definedName>
    <definedName name="G3_Lse">OFFSET(INDEX(data!$E:$E,MATCH(report!$B$15,data!$E:$E,0)),-2,(report!$H$15-5)-(report!$B$17-1),1,report!$B$17)</definedName>
    <definedName name="G3_Nominal">OFFSET(INDEX(data!$E:$E,MATCH(report!$B$15,data!$E:$E,0)),-4,(report!$H$15-5)-(report!$B$17-1),1,report!$B$17)</definedName>
    <definedName name="G3_XValues">OFFSET(INDEX(data!$E:$E,MATCH(report!$B$15,data!$E:$E,0)),-6,(report!$H$15-5)-(report!$B$17-1),2,report!$B$17)</definedName>
    <definedName name="G4_Data">OFFSET(INDEX(data!$E:$E,MATCH(report!$B$20,data!$E:$E,0)),-1,(report!$H$20-5)-(report!$B$22-1),1,report!$B$22)</definedName>
    <definedName name="G4_Lie">OFFSET(INDEX(data!$E:$E,MATCH(report!$B$20,data!$E:$E,0)),-3,(report!$H$20-5)-(report!$B$22-1),1,report!$B$22)</definedName>
    <definedName name="G4_Lse">OFFSET(INDEX(data!$E:$E,MATCH(report!$B$20,data!$E:$E,0)),-2,(report!$H$20-5)-(report!$B$22-1),1,report!$B$22)</definedName>
    <definedName name="G4_Nominal">OFFSET(INDEX(data!$E:$E,MATCH(report!$B$20,data!$E:$E,0)),-4,(report!$H$20-5)-(report!$B$22-1),1,report!$B$22)</definedName>
    <definedName name="G4_XValues">OFFSET(INDEX(data!$E:$E,MATCH(report!$B$20,data!$E:$E,0)),-6,(report!$H$20-5)-(report!$B$22-1),2,report!$B$22)</definedName>
    <definedName name="G5_Data">OFFSET(INDEX(data!$E:$E,MATCH(report!$B$25,data!$E:$E,0)),-1,(report!$H$25-5)-(report!$B$27-1),1,report!$B$27)</definedName>
    <definedName name="G5_Lie">OFFSET(INDEX(data!$E:$E,MATCH(report!$B$25,data!$E:$E,0)),-3,(report!$H$25-5)-(report!$B$27-1),1,report!$B$27)</definedName>
    <definedName name="G5_Lse">OFFSET(INDEX(data!$E:$E,MATCH(report!$B$25,data!$E:$E,0)),-2,(report!$H$25-5)-(report!$B$27-1),1,report!$B$27)</definedName>
    <definedName name="G5_Nominal">OFFSET(INDEX(data!$E:$E,MATCH(report!$B$25,data!$E:$E,0)),-4,(report!$H$25-5)-(report!$B$27-1),1,report!$B$27)</definedName>
    <definedName name="G5_XValues">OFFSET(INDEX(data!$E:$E,MATCH(report!$B$25,data!$E:$E,0)),-6,(report!$H$25-5)-(report!$B$27-1),2,report!$B$27)</definedName>
    <definedName name="G6_Data">OFFSET(INDEX(data!$E:$E,MATCH(report!$B$30,data!$E:$E,0)),-1,(report!$H$30-5)-(report!$B$32-1),1,report!$B$32)</definedName>
    <definedName name="G6_Lie">OFFSET(INDEX(data!$E:$E,MATCH(report!$B$30,data!$E:$E,0)),-3,(report!$H$30-5)-(report!$B$32-1),1,report!$B$32)</definedName>
    <definedName name="G6_Lse">OFFSET(INDEX(data!$E:$E,MATCH(report!$B$30,data!$E:$E,0)),-2,(report!$H$30-5)-(report!$B$32-1),1,report!$B$32)</definedName>
    <definedName name="G6_Nominal">OFFSET(INDEX(data!$E:$E,MATCH(report!$B$30,data!$E:$E,0)),-4,(report!$H$30-5)-(report!$B$32-1),1,report!$B$32)</definedName>
    <definedName name="G6_XValues">OFFSET(INDEX(data!$E:$E,MATCH(report!$B$30,data!$E:$E,0)),-6,(report!$H$30-5)-(report!$B$32-1),2,report!$B$32)</definedName>
    <definedName name="G7_Data">OFFSET(INDEX(data!$E:$E,MATCH(report!$B$35,data!$E:$E,0)),-1,(report!$H$35-5)-(report!$B$37-1),1,report!$B$37)</definedName>
    <definedName name="G7_Lie">OFFSET(INDEX(data!$E:$E,MATCH(report!$B$35,data!$E:$E,0)),-3,(report!$H$35-5)-(report!$B$37-1),1,report!$B$37)</definedName>
    <definedName name="G7_Lse">OFFSET(INDEX(data!$E:$E,MATCH(report!$B$35,data!$E:$E,0)),-2,(report!$H$35-5)-(report!$B$37-1),1,report!$B$37)</definedName>
    <definedName name="G7_Nominal">OFFSET(INDEX(data!$E:$E,MATCH(report!$B$35,data!$E:$E,0)),-4,(report!$H$35-5)-(report!$B$37-1),1,report!$B$37)</definedName>
    <definedName name="G7_XValues">OFFSET(INDEX(data!$E:$E,MATCH(report!$B$35,data!$E:$E,0)),-6,(report!$H$35-5)-(report!$B$37-1),2,report!$B$37)</definedName>
    <definedName name="G8_Data">OFFSET(INDEX(data!$E:$E,MATCH(report!$B$40,data!$E:$E,0)),-1,(report!$H$40-5)-(report!$B$42-1),1,report!$B$42)</definedName>
    <definedName name="G8_Lie">OFFSET(INDEX(data!$E:$E,MATCH(report!$B$40,data!$E:$E,0)),-3,(report!$H$40-5)-(report!$B$42-1),1,report!$B$42)</definedName>
    <definedName name="G8_Lse">OFFSET(INDEX(data!$E:$E,MATCH(report!$B$40,data!$E:$E,0)),-2,(report!$H$40-5)-(report!$B$42-1),1,report!$B$42)</definedName>
    <definedName name="G8_Nominal">OFFSET(INDEX(data!$E:$E,MATCH(report!$B$40,data!$E:$E,0)),-4,(report!$H$40-5)-(report!$B$42-1),1,report!$B$42)</definedName>
    <definedName name="G8_XValues">OFFSET(INDEX(data!$E:$E,MATCH(report!$B$40,data!$E:$E,0)),-6,(report!$H$40-5)-(report!$B$42-1),2,report!$B$42)</definedName>
    <definedName name="G9_Data">OFFSET(INDEX(data!$E:$E,MATCH(report!$B$45,data!$E:$E,0)),-1,(report!$H$45-5)-(report!$B$47-1),1,report!$B$47)</definedName>
    <definedName name="G9_Lie">OFFSET(INDEX(data!$E:$E,MATCH(report!$B$45,data!$E:$E,0)),-3,(report!$H$45-5)-(report!$B$47-1),1,report!$B$47)</definedName>
    <definedName name="G9_Lse">OFFSET(INDEX(data!$E:$E,MATCH(report!$B$45,data!$E:$E,0)),-2,(report!$H$45-5)-(report!$B$47-1),1,report!$B$47)</definedName>
    <definedName name="G9_Nominal">OFFSET(INDEX(data!$E:$E,MATCH(report!$B$45,data!$E:$E,0)),-4,(report!$H$45-5)-(report!$B$47-1),1,report!$B$47)</definedName>
    <definedName name="G9_XValues">OFFSET(INDEX(data!$E:$E,MATCH(report!$B$45,data!$E:$E,0)),-6,(report!$H$45-5)-(report!$B$47-1),2,report!$B$47)</definedName>
  </definedNames>
  <calcPr calcId="145621"/>
</workbook>
</file>

<file path=xl/calcChain.xml><?xml version="1.0" encoding="utf-8"?>
<calcChain xmlns="http://schemas.openxmlformats.org/spreadsheetml/2006/main">
  <c r="H3" i="1" l="1"/>
  <c r="D100" i="1" l="1"/>
  <c r="H100" i="1"/>
  <c r="B102" i="1" s="1"/>
  <c r="F101" i="1" s="1"/>
  <c r="B101" i="1"/>
  <c r="M100" i="1" s="1"/>
  <c r="M101" i="1" s="1"/>
  <c r="M102" i="1" s="1"/>
  <c r="M103" i="1" s="1"/>
  <c r="M104" i="1" s="1"/>
  <c r="L100" i="1"/>
  <c r="L101" i="1" s="1"/>
  <c r="L102" i="1" s="1"/>
  <c r="L103" i="1" s="1"/>
  <c r="L104" i="1" s="1"/>
  <c r="K100" i="1"/>
  <c r="K101" i="1" s="1"/>
  <c r="K102" i="1" s="1"/>
  <c r="K103" i="1" s="1"/>
  <c r="K104" i="1" s="1"/>
  <c r="J100" i="1"/>
  <c r="J101" i="1" s="1"/>
  <c r="J102" i="1" s="1"/>
  <c r="J103" i="1" s="1"/>
  <c r="J104" i="1" s="1"/>
  <c r="D95" i="1"/>
  <c r="H95" i="1"/>
  <c r="D99" i="1" s="1"/>
  <c r="B96" i="1"/>
  <c r="M95" i="1" s="1"/>
  <c r="M96" i="1" s="1"/>
  <c r="M97" i="1" s="1"/>
  <c r="M98" i="1" s="1"/>
  <c r="M99" i="1" s="1"/>
  <c r="L95" i="1"/>
  <c r="L96" i="1" s="1"/>
  <c r="L97" i="1" s="1"/>
  <c r="L98" i="1" s="1"/>
  <c r="L99" i="1" s="1"/>
  <c r="K95" i="1"/>
  <c r="K96" i="1" s="1"/>
  <c r="K97" i="1" s="1"/>
  <c r="K98" i="1" s="1"/>
  <c r="K99" i="1" s="1"/>
  <c r="J95" i="1"/>
  <c r="J96" i="1" s="1"/>
  <c r="J97" i="1" s="1"/>
  <c r="J98" i="1" s="1"/>
  <c r="J99" i="1" s="1"/>
  <c r="D90" i="1"/>
  <c r="H90" i="1"/>
  <c r="B94" i="1" s="1"/>
  <c r="B91" i="1"/>
  <c r="M90" i="1" s="1"/>
  <c r="M91" i="1" s="1"/>
  <c r="M92" i="1" s="1"/>
  <c r="M93" i="1" s="1"/>
  <c r="M94" i="1" s="1"/>
  <c r="L90" i="1"/>
  <c r="L91" i="1" s="1"/>
  <c r="L92" i="1" s="1"/>
  <c r="L93" i="1" s="1"/>
  <c r="L94" i="1" s="1"/>
  <c r="K90" i="1"/>
  <c r="K91" i="1" s="1"/>
  <c r="K92" i="1" s="1"/>
  <c r="K93" i="1" s="1"/>
  <c r="K94" i="1" s="1"/>
  <c r="J90" i="1"/>
  <c r="J91" i="1" s="1"/>
  <c r="J92" i="1" s="1"/>
  <c r="J93" i="1" s="1"/>
  <c r="J94" i="1" s="1"/>
  <c r="D85" i="1"/>
  <c r="H85" i="1"/>
  <c r="B89" i="1" s="1"/>
  <c r="B86" i="1"/>
  <c r="M85" i="1" s="1"/>
  <c r="M86" i="1" s="1"/>
  <c r="M87" i="1" s="1"/>
  <c r="M88" i="1" s="1"/>
  <c r="M89" i="1" s="1"/>
  <c r="L85" i="1"/>
  <c r="L86" i="1" s="1"/>
  <c r="L87" i="1" s="1"/>
  <c r="L88" i="1" s="1"/>
  <c r="L89" i="1" s="1"/>
  <c r="K85" i="1"/>
  <c r="K86" i="1" s="1"/>
  <c r="K87" i="1" s="1"/>
  <c r="K88" i="1" s="1"/>
  <c r="K89" i="1" s="1"/>
  <c r="J85" i="1"/>
  <c r="J86" i="1" s="1"/>
  <c r="J87" i="1" s="1"/>
  <c r="J88" i="1" s="1"/>
  <c r="J89" i="1" s="1"/>
  <c r="D80" i="1"/>
  <c r="H80" i="1"/>
  <c r="B84" i="1" s="1"/>
  <c r="B81" i="1"/>
  <c r="M80" i="1" s="1"/>
  <c r="M81" i="1" s="1"/>
  <c r="M82" i="1" s="1"/>
  <c r="M83" i="1" s="1"/>
  <c r="M84" i="1" s="1"/>
  <c r="L80" i="1"/>
  <c r="L81" i="1" s="1"/>
  <c r="L82" i="1" s="1"/>
  <c r="L83" i="1" s="1"/>
  <c r="L84" i="1" s="1"/>
  <c r="K80" i="1"/>
  <c r="K81" i="1" s="1"/>
  <c r="K82" i="1" s="1"/>
  <c r="K83" i="1" s="1"/>
  <c r="K84" i="1" s="1"/>
  <c r="J80" i="1"/>
  <c r="J81" i="1" s="1"/>
  <c r="J82" i="1" s="1"/>
  <c r="J83" i="1" s="1"/>
  <c r="J84" i="1" s="1"/>
  <c r="D75" i="1"/>
  <c r="H75" i="1"/>
  <c r="B76" i="1"/>
  <c r="M75" i="1" s="1"/>
  <c r="M76" i="1" s="1"/>
  <c r="M77" i="1" s="1"/>
  <c r="M78" i="1" s="1"/>
  <c r="M79" i="1" s="1"/>
  <c r="L75" i="1"/>
  <c r="L76" i="1" s="1"/>
  <c r="L77" i="1" s="1"/>
  <c r="L78" i="1" s="1"/>
  <c r="L79" i="1" s="1"/>
  <c r="K75" i="1"/>
  <c r="K76" i="1" s="1"/>
  <c r="K77" i="1" s="1"/>
  <c r="K78" i="1" s="1"/>
  <c r="K79" i="1" s="1"/>
  <c r="J75" i="1"/>
  <c r="J76" i="1" s="1"/>
  <c r="J77" i="1" s="1"/>
  <c r="J78" i="1" s="1"/>
  <c r="J79" i="1" s="1"/>
  <c r="D70" i="1"/>
  <c r="H70" i="1"/>
  <c r="D74" i="1" s="1"/>
  <c r="B71" i="1"/>
  <c r="M70" i="1" s="1"/>
  <c r="M71" i="1" s="1"/>
  <c r="M72" i="1" s="1"/>
  <c r="M73" i="1" s="1"/>
  <c r="M74" i="1" s="1"/>
  <c r="L70" i="1"/>
  <c r="L71" i="1" s="1"/>
  <c r="L72" i="1" s="1"/>
  <c r="L73" i="1" s="1"/>
  <c r="L74" i="1" s="1"/>
  <c r="K70" i="1"/>
  <c r="K71" i="1" s="1"/>
  <c r="K72" i="1" s="1"/>
  <c r="K73" i="1" s="1"/>
  <c r="K74" i="1" s="1"/>
  <c r="J70" i="1"/>
  <c r="J71" i="1" s="1"/>
  <c r="J72" i="1" s="1"/>
  <c r="J73" i="1" s="1"/>
  <c r="J74" i="1" s="1"/>
  <c r="D65" i="1"/>
  <c r="H65" i="1"/>
  <c r="B67" i="1" s="1"/>
  <c r="B66" i="1"/>
  <c r="M65" i="1" s="1"/>
  <c r="M66" i="1" s="1"/>
  <c r="M67" i="1" s="1"/>
  <c r="M68" i="1" s="1"/>
  <c r="M69" i="1" s="1"/>
  <c r="L65" i="1"/>
  <c r="L66" i="1" s="1"/>
  <c r="L67" i="1" s="1"/>
  <c r="L68" i="1" s="1"/>
  <c r="L69" i="1" s="1"/>
  <c r="K65" i="1"/>
  <c r="K66" i="1" s="1"/>
  <c r="K67" i="1" s="1"/>
  <c r="K68" i="1" s="1"/>
  <c r="K69" i="1" s="1"/>
  <c r="J65" i="1"/>
  <c r="J66" i="1" s="1"/>
  <c r="J67" i="1" s="1"/>
  <c r="J68" i="1" s="1"/>
  <c r="J69" i="1" s="1"/>
  <c r="D60" i="1"/>
  <c r="H60" i="1"/>
  <c r="B61" i="1"/>
  <c r="M60" i="1" s="1"/>
  <c r="M61" i="1" s="1"/>
  <c r="M62" i="1" s="1"/>
  <c r="M63" i="1" s="1"/>
  <c r="M64" i="1" s="1"/>
  <c r="L60" i="1"/>
  <c r="L61" i="1" s="1"/>
  <c r="L62" i="1" s="1"/>
  <c r="L63" i="1" s="1"/>
  <c r="L64" i="1" s="1"/>
  <c r="K60" i="1"/>
  <c r="K61" i="1" s="1"/>
  <c r="K62" i="1" s="1"/>
  <c r="K63" i="1" s="1"/>
  <c r="K64" i="1" s="1"/>
  <c r="J60" i="1"/>
  <c r="J61" i="1" s="1"/>
  <c r="J62" i="1" s="1"/>
  <c r="J63" i="1" s="1"/>
  <c r="J64" i="1" s="1"/>
  <c r="D55" i="1"/>
  <c r="H55" i="1"/>
  <c r="D59" i="1" s="1"/>
  <c r="B56" i="1"/>
  <c r="M55" i="1" s="1"/>
  <c r="M56" i="1" s="1"/>
  <c r="M57" i="1" s="1"/>
  <c r="M58" i="1" s="1"/>
  <c r="M59" i="1" s="1"/>
  <c r="L55" i="1"/>
  <c r="L56" i="1" s="1"/>
  <c r="L57" i="1" s="1"/>
  <c r="L58" i="1" s="1"/>
  <c r="L59" i="1" s="1"/>
  <c r="K55" i="1"/>
  <c r="K56" i="1" s="1"/>
  <c r="K57" i="1" s="1"/>
  <c r="K58" i="1" s="1"/>
  <c r="K59" i="1" s="1"/>
  <c r="J55" i="1"/>
  <c r="J56" i="1" s="1"/>
  <c r="J57" i="1" s="1"/>
  <c r="J58" i="1" s="1"/>
  <c r="J59" i="1" s="1"/>
  <c r="D50" i="1"/>
  <c r="H50" i="1"/>
  <c r="B54" i="1" s="1"/>
  <c r="B51" i="1"/>
  <c r="M50" i="1" s="1"/>
  <c r="M51" i="1" s="1"/>
  <c r="M52" i="1" s="1"/>
  <c r="M53" i="1" s="1"/>
  <c r="M54" i="1" s="1"/>
  <c r="L50" i="1"/>
  <c r="L51" i="1" s="1"/>
  <c r="L52" i="1" s="1"/>
  <c r="L53" i="1" s="1"/>
  <c r="L54" i="1" s="1"/>
  <c r="K50" i="1"/>
  <c r="K51" i="1" s="1"/>
  <c r="K52" i="1" s="1"/>
  <c r="K53" i="1" s="1"/>
  <c r="K54" i="1" s="1"/>
  <c r="J50" i="1"/>
  <c r="J51" i="1" s="1"/>
  <c r="J52" i="1" s="1"/>
  <c r="J53" i="1" s="1"/>
  <c r="J54" i="1" s="1"/>
  <c r="D45" i="1"/>
  <c r="H45" i="1"/>
  <c r="B49" i="1" s="1"/>
  <c r="B46" i="1"/>
  <c r="M45" i="1" s="1"/>
  <c r="M46" i="1" s="1"/>
  <c r="M47" i="1" s="1"/>
  <c r="M48" i="1" s="1"/>
  <c r="M49" i="1" s="1"/>
  <c r="L45" i="1"/>
  <c r="L46" i="1" s="1"/>
  <c r="L47" i="1" s="1"/>
  <c r="L48" i="1" s="1"/>
  <c r="L49" i="1" s="1"/>
  <c r="K45" i="1"/>
  <c r="K46" i="1" s="1"/>
  <c r="K47" i="1" s="1"/>
  <c r="K48" i="1" s="1"/>
  <c r="K49" i="1" s="1"/>
  <c r="J45" i="1"/>
  <c r="J46" i="1" s="1"/>
  <c r="J47" i="1" s="1"/>
  <c r="J48" i="1" s="1"/>
  <c r="J49" i="1" s="1"/>
  <c r="D40" i="1"/>
  <c r="H40" i="1"/>
  <c r="B41" i="1"/>
  <c r="M40" i="1" s="1"/>
  <c r="M41" i="1" s="1"/>
  <c r="M42" i="1" s="1"/>
  <c r="M43" i="1" s="1"/>
  <c r="M44" i="1" s="1"/>
  <c r="L40" i="1"/>
  <c r="L41" i="1" s="1"/>
  <c r="L42" i="1" s="1"/>
  <c r="L43" i="1" s="1"/>
  <c r="L44" i="1" s="1"/>
  <c r="K40" i="1"/>
  <c r="K41" i="1" s="1"/>
  <c r="K42" i="1" s="1"/>
  <c r="K43" i="1" s="1"/>
  <c r="K44" i="1" s="1"/>
  <c r="J40" i="1"/>
  <c r="J41" i="1" s="1"/>
  <c r="J42" i="1" s="1"/>
  <c r="J43" i="1" s="1"/>
  <c r="J44" i="1" s="1"/>
  <c r="D35" i="1"/>
  <c r="H35" i="1"/>
  <c r="B36" i="1"/>
  <c r="M35" i="1" s="1"/>
  <c r="M36" i="1" s="1"/>
  <c r="M37" i="1" s="1"/>
  <c r="M38" i="1" s="1"/>
  <c r="M39" i="1" s="1"/>
  <c r="L35" i="1"/>
  <c r="L36" i="1" s="1"/>
  <c r="L37" i="1" s="1"/>
  <c r="L38" i="1" s="1"/>
  <c r="L39" i="1" s="1"/>
  <c r="K35" i="1"/>
  <c r="K36" i="1" s="1"/>
  <c r="K37" i="1" s="1"/>
  <c r="K38" i="1" s="1"/>
  <c r="K39" i="1" s="1"/>
  <c r="J35" i="1"/>
  <c r="J36" i="1" s="1"/>
  <c r="J37" i="1" s="1"/>
  <c r="J38" i="1" s="1"/>
  <c r="J39" i="1" s="1"/>
  <c r="D30" i="1"/>
  <c r="H30" i="1"/>
  <c r="D34" i="1" s="1"/>
  <c r="B31" i="1"/>
  <c r="M30" i="1" s="1"/>
  <c r="M31" i="1" s="1"/>
  <c r="M32" i="1" s="1"/>
  <c r="M33" i="1" s="1"/>
  <c r="M34" i="1" s="1"/>
  <c r="L30" i="1"/>
  <c r="L31" i="1" s="1"/>
  <c r="L32" i="1" s="1"/>
  <c r="L33" i="1" s="1"/>
  <c r="L34" i="1" s="1"/>
  <c r="K30" i="1"/>
  <c r="K31" i="1" s="1"/>
  <c r="K32" i="1" s="1"/>
  <c r="K33" i="1" s="1"/>
  <c r="K34" i="1" s="1"/>
  <c r="J30" i="1"/>
  <c r="J31" i="1" s="1"/>
  <c r="J32" i="1" s="1"/>
  <c r="J33" i="1" s="1"/>
  <c r="J34" i="1" s="1"/>
  <c r="D25" i="1"/>
  <c r="H25" i="1"/>
  <c r="D29" i="1" s="1"/>
  <c r="B26" i="1"/>
  <c r="M25" i="1" s="1"/>
  <c r="M26" i="1" s="1"/>
  <c r="M27" i="1" s="1"/>
  <c r="M28" i="1" s="1"/>
  <c r="M29" i="1" s="1"/>
  <c r="L25" i="1"/>
  <c r="L26" i="1" s="1"/>
  <c r="L27" i="1" s="1"/>
  <c r="L28" i="1" s="1"/>
  <c r="L29" i="1" s="1"/>
  <c r="K25" i="1"/>
  <c r="K26" i="1" s="1"/>
  <c r="K27" i="1" s="1"/>
  <c r="K28" i="1" s="1"/>
  <c r="K29" i="1" s="1"/>
  <c r="J25" i="1"/>
  <c r="J26" i="1" s="1"/>
  <c r="J27" i="1" s="1"/>
  <c r="J28" i="1" s="1"/>
  <c r="J29" i="1" s="1"/>
  <c r="D20" i="1"/>
  <c r="H20" i="1"/>
  <c r="B21" i="1"/>
  <c r="M20" i="1" s="1"/>
  <c r="M21" i="1" s="1"/>
  <c r="M22" i="1" s="1"/>
  <c r="M23" i="1" s="1"/>
  <c r="M24" i="1" s="1"/>
  <c r="L20" i="1"/>
  <c r="L21" i="1" s="1"/>
  <c r="L22" i="1" s="1"/>
  <c r="L23" i="1" s="1"/>
  <c r="L24" i="1" s="1"/>
  <c r="K20" i="1"/>
  <c r="K21" i="1" s="1"/>
  <c r="K22" i="1" s="1"/>
  <c r="K23" i="1" s="1"/>
  <c r="K24" i="1" s="1"/>
  <c r="J20" i="1"/>
  <c r="J21" i="1" s="1"/>
  <c r="J22" i="1" s="1"/>
  <c r="J23" i="1" s="1"/>
  <c r="J24" i="1" s="1"/>
  <c r="D15" i="1"/>
  <c r="H15" i="1"/>
  <c r="B19" i="1" s="1"/>
  <c r="B16" i="1"/>
  <c r="M15" i="1" s="1"/>
  <c r="M16" i="1" s="1"/>
  <c r="M17" i="1" s="1"/>
  <c r="M18" i="1" s="1"/>
  <c r="M19" i="1" s="1"/>
  <c r="L15" i="1"/>
  <c r="L16" i="1" s="1"/>
  <c r="L17" i="1" s="1"/>
  <c r="L18" i="1" s="1"/>
  <c r="L19" i="1" s="1"/>
  <c r="K15" i="1"/>
  <c r="K16" i="1" s="1"/>
  <c r="K17" i="1" s="1"/>
  <c r="K18" i="1" s="1"/>
  <c r="K19" i="1" s="1"/>
  <c r="J15" i="1"/>
  <c r="J16" i="1" s="1"/>
  <c r="J17" i="1" s="1"/>
  <c r="J18" i="1" s="1"/>
  <c r="J19" i="1" s="1"/>
  <c r="D10" i="1"/>
  <c r="H10" i="1"/>
  <c r="D14" i="1" s="1"/>
  <c r="B11" i="1"/>
  <c r="M10" i="1" s="1"/>
  <c r="M11" i="1" s="1"/>
  <c r="M12" i="1" s="1"/>
  <c r="M13" i="1" s="1"/>
  <c r="M14" i="1" s="1"/>
  <c r="L10" i="1"/>
  <c r="L11" i="1" s="1"/>
  <c r="L12" i="1" s="1"/>
  <c r="L13" i="1" s="1"/>
  <c r="L14" i="1" s="1"/>
  <c r="K10" i="1"/>
  <c r="K11" i="1" s="1"/>
  <c r="K12" i="1" s="1"/>
  <c r="K13" i="1" s="1"/>
  <c r="K14" i="1" s="1"/>
  <c r="J10" i="1"/>
  <c r="J11" i="1" s="1"/>
  <c r="J12" i="1" s="1"/>
  <c r="J13" i="1" s="1"/>
  <c r="J14" i="1" s="1"/>
  <c r="D5" i="1"/>
  <c r="H5" i="1"/>
  <c r="B7" i="1" s="1"/>
  <c r="D7" i="1" s="1"/>
  <c r="B6" i="1"/>
  <c r="M5" i="1" s="1"/>
  <c r="M6" i="1" s="1"/>
  <c r="M7" i="1" s="1"/>
  <c r="M8" i="1" s="1"/>
  <c r="M9" i="1" s="1"/>
  <c r="L5" i="1"/>
  <c r="L6" i="1" s="1"/>
  <c r="L7" i="1" s="1"/>
  <c r="L8" i="1" s="1"/>
  <c r="L9" i="1" s="1"/>
  <c r="K5" i="1"/>
  <c r="K6" i="1" s="1"/>
  <c r="K7" i="1" s="1"/>
  <c r="K8" i="1" s="1"/>
  <c r="K9" i="1" s="1"/>
  <c r="J5" i="1"/>
  <c r="J6" i="1" s="1"/>
  <c r="J7" i="1" s="1"/>
  <c r="J8" i="1" s="1"/>
  <c r="J9" i="1" s="1"/>
  <c r="D94" i="1" l="1"/>
  <c r="B14" i="1"/>
  <c r="D89" i="1"/>
  <c r="B92" i="1"/>
  <c r="B93" i="1" s="1"/>
  <c r="B42" i="1"/>
  <c r="D41" i="1" s="1"/>
  <c r="D49" i="1"/>
  <c r="D43" i="1"/>
  <c r="B47" i="1"/>
  <c r="D46" i="1" s="1"/>
  <c r="B44" i="1"/>
  <c r="B29" i="1"/>
  <c r="B34" i="1"/>
  <c r="B12" i="1"/>
  <c r="D11" i="1" s="1"/>
  <c r="B17" i="1"/>
  <c r="D16" i="1" s="1"/>
  <c r="B27" i="1"/>
  <c r="D27" i="1" s="1"/>
  <c r="B32" i="1"/>
  <c r="B33" i="1" s="1"/>
  <c r="B52" i="1"/>
  <c r="B53" i="1" s="1"/>
  <c r="B82" i="1"/>
  <c r="D83" i="1" s="1"/>
  <c r="B87" i="1"/>
  <c r="D87" i="1" s="1"/>
  <c r="D8" i="1"/>
  <c r="D69" i="1"/>
  <c r="F6" i="1"/>
  <c r="D19" i="1"/>
  <c r="D54" i="1"/>
  <c r="D67" i="1"/>
  <c r="B69" i="1"/>
  <c r="D68" i="1"/>
  <c r="F66" i="1"/>
  <c r="B68" i="1"/>
  <c r="D24" i="1"/>
  <c r="B22" i="1"/>
  <c r="D23" i="1" s="1"/>
  <c r="B24" i="1"/>
  <c r="B77" i="1"/>
  <c r="D78" i="1" s="1"/>
  <c r="B79" i="1"/>
  <c r="D79" i="1"/>
  <c r="D6" i="1"/>
  <c r="D9" i="1"/>
  <c r="B8" i="1"/>
  <c r="B9" i="1"/>
  <c r="B37" i="1"/>
  <c r="D38" i="1" s="1"/>
  <c r="B39" i="1"/>
  <c r="D39" i="1"/>
  <c r="B57" i="1"/>
  <c r="B59" i="1"/>
  <c r="D66" i="1"/>
  <c r="B97" i="1"/>
  <c r="B98" i="1" s="1"/>
  <c r="B99" i="1"/>
  <c r="D102" i="1"/>
  <c r="D44" i="1"/>
  <c r="D84" i="1"/>
  <c r="B72" i="1"/>
  <c r="F71" i="1" s="1"/>
  <c r="B74" i="1"/>
  <c r="D88" i="1"/>
  <c r="B103" i="1"/>
  <c r="D103" i="1"/>
  <c r="D64" i="1"/>
  <c r="D104" i="1"/>
  <c r="D101" i="1"/>
  <c r="F102" i="1" s="1"/>
  <c r="N100" i="1" s="1"/>
  <c r="N101" i="1" s="1"/>
  <c r="N102" i="1" s="1"/>
  <c r="N103" i="1" s="1"/>
  <c r="N104" i="1" s="1"/>
  <c r="B64" i="1"/>
  <c r="B62" i="1"/>
  <c r="B63" i="1" s="1"/>
  <c r="B104" i="1"/>
  <c r="A1" i="1"/>
  <c r="E3" i="1"/>
  <c r="B3" i="1"/>
  <c r="D52" i="1" l="1"/>
  <c r="D82" i="1"/>
  <c r="F83" i="1" s="1"/>
  <c r="O80" i="1" s="1"/>
  <c r="O81" i="1" s="1"/>
  <c r="O82" i="1" s="1"/>
  <c r="O83" i="1" s="1"/>
  <c r="O84" i="1" s="1"/>
  <c r="D12" i="1"/>
  <c r="D93" i="1"/>
  <c r="F91" i="1"/>
  <c r="D86" i="1"/>
  <c r="B88" i="1"/>
  <c r="F26" i="1"/>
  <c r="F51" i="1"/>
  <c r="D92" i="1"/>
  <c r="D53" i="1"/>
  <c r="D91" i="1"/>
  <c r="B43" i="1"/>
  <c r="B48" i="1"/>
  <c r="F41" i="1"/>
  <c r="D47" i="1"/>
  <c r="D42" i="1"/>
  <c r="F43" i="1" s="1"/>
  <c r="O40" i="1" s="1"/>
  <c r="O41" i="1" s="1"/>
  <c r="O42" i="1" s="1"/>
  <c r="O43" i="1" s="1"/>
  <c r="O44" i="1" s="1"/>
  <c r="D36" i="1"/>
  <c r="F86" i="1"/>
  <c r="B83" i="1"/>
  <c r="F81" i="1"/>
  <c r="F84" i="1" s="1"/>
  <c r="P80" i="1" s="1"/>
  <c r="P81" i="1" s="1"/>
  <c r="P82" i="1" s="1"/>
  <c r="P83" i="1" s="1"/>
  <c r="P84" i="1" s="1"/>
  <c r="D76" i="1"/>
  <c r="F16" i="1"/>
  <c r="D48" i="1"/>
  <c r="D81" i="1"/>
  <c r="D32" i="1"/>
  <c r="F9" i="1"/>
  <c r="P5" i="1" s="1"/>
  <c r="P6" i="1" s="1"/>
  <c r="P7" i="1" s="1"/>
  <c r="P8" i="1" s="1"/>
  <c r="P9" i="1" s="1"/>
  <c r="D18" i="1"/>
  <c r="F46" i="1"/>
  <c r="F47" i="1" s="1"/>
  <c r="N45" i="1" s="1"/>
  <c r="N46" i="1" s="1"/>
  <c r="N47" i="1" s="1"/>
  <c r="N48" i="1" s="1"/>
  <c r="N49" i="1" s="1"/>
  <c r="F76" i="1"/>
  <c r="F77" i="1" s="1"/>
  <c r="N75" i="1" s="1"/>
  <c r="N76" i="1" s="1"/>
  <c r="N77" i="1" s="1"/>
  <c r="N78" i="1" s="1"/>
  <c r="N79" i="1" s="1"/>
  <c r="D71" i="1"/>
  <c r="F72" i="1" s="1"/>
  <c r="N70" i="1" s="1"/>
  <c r="N71" i="1" s="1"/>
  <c r="N72" i="1" s="1"/>
  <c r="N73" i="1" s="1"/>
  <c r="N74" i="1" s="1"/>
  <c r="D77" i="1"/>
  <c r="F78" i="1" s="1"/>
  <c r="O75" i="1" s="1"/>
  <c r="O76" i="1" s="1"/>
  <c r="O77" i="1" s="1"/>
  <c r="O78" i="1" s="1"/>
  <c r="O79" i="1" s="1"/>
  <c r="F11" i="1"/>
  <c r="F12" i="1" s="1"/>
  <c r="N10" i="1" s="1"/>
  <c r="N11" i="1" s="1"/>
  <c r="N12" i="1" s="1"/>
  <c r="N13" i="1" s="1"/>
  <c r="N14" i="1" s="1"/>
  <c r="B28" i="1"/>
  <c r="B78" i="1"/>
  <c r="F31" i="1"/>
  <c r="D13" i="1"/>
  <c r="D26" i="1"/>
  <c r="D28" i="1"/>
  <c r="B13" i="1"/>
  <c r="F8" i="1"/>
  <c r="O5" i="1" s="1"/>
  <c r="O6" i="1" s="1"/>
  <c r="O7" i="1" s="1"/>
  <c r="O8" i="1" s="1"/>
  <c r="O9" i="1" s="1"/>
  <c r="D17" i="1"/>
  <c r="B18" i="1"/>
  <c r="D33" i="1"/>
  <c r="D61" i="1"/>
  <c r="D31" i="1"/>
  <c r="F7" i="1"/>
  <c r="N5" i="1" s="1"/>
  <c r="N6" i="1" s="1"/>
  <c r="N7" i="1" s="1"/>
  <c r="N8" i="1" s="1"/>
  <c r="N9" i="1" s="1"/>
  <c r="D51" i="1"/>
  <c r="F52" i="1" s="1"/>
  <c r="N50" i="1" s="1"/>
  <c r="N51" i="1" s="1"/>
  <c r="N52" i="1" s="1"/>
  <c r="N53" i="1" s="1"/>
  <c r="N54" i="1" s="1"/>
  <c r="D72" i="1"/>
  <c r="F21" i="1"/>
  <c r="F68" i="1"/>
  <c r="O65" i="1" s="1"/>
  <c r="O66" i="1" s="1"/>
  <c r="O67" i="1" s="1"/>
  <c r="O68" i="1" s="1"/>
  <c r="O69" i="1" s="1"/>
  <c r="F69" i="1"/>
  <c r="P65" i="1" s="1"/>
  <c r="P66" i="1" s="1"/>
  <c r="P67" i="1" s="1"/>
  <c r="P68" i="1" s="1"/>
  <c r="P69" i="1" s="1"/>
  <c r="B23" i="1"/>
  <c r="B38" i="1"/>
  <c r="F67" i="1"/>
  <c r="N65" i="1" s="1"/>
  <c r="N66" i="1" s="1"/>
  <c r="N67" i="1" s="1"/>
  <c r="N68" i="1" s="1"/>
  <c r="N69" i="1" s="1"/>
  <c r="D57" i="1"/>
  <c r="D58" i="1"/>
  <c r="F56" i="1"/>
  <c r="D56" i="1"/>
  <c r="D21" i="1"/>
  <c r="F103" i="1"/>
  <c r="O100" i="1" s="1"/>
  <c r="O101" i="1" s="1"/>
  <c r="O102" i="1" s="1"/>
  <c r="O103" i="1" s="1"/>
  <c r="O104" i="1" s="1"/>
  <c r="F104" i="1"/>
  <c r="P100" i="1" s="1"/>
  <c r="P101" i="1" s="1"/>
  <c r="P102" i="1" s="1"/>
  <c r="P103" i="1" s="1"/>
  <c r="P104" i="1" s="1"/>
  <c r="F42" i="1"/>
  <c r="N40" i="1" s="1"/>
  <c r="N41" i="1" s="1"/>
  <c r="N42" i="1" s="1"/>
  <c r="N43" i="1" s="1"/>
  <c r="N44" i="1" s="1"/>
  <c r="D97" i="1"/>
  <c r="D98" i="1"/>
  <c r="F96" i="1"/>
  <c r="D96" i="1"/>
  <c r="F36" i="1"/>
  <c r="D22" i="1"/>
  <c r="F23" i="1" s="1"/>
  <c r="O20" i="1" s="1"/>
  <c r="O21" i="1" s="1"/>
  <c r="O22" i="1" s="1"/>
  <c r="O23" i="1" s="1"/>
  <c r="O24" i="1" s="1"/>
  <c r="F88" i="1"/>
  <c r="O85" i="1" s="1"/>
  <c r="O86" i="1" s="1"/>
  <c r="O87" i="1" s="1"/>
  <c r="O88" i="1" s="1"/>
  <c r="O89" i="1" s="1"/>
  <c r="B58" i="1"/>
  <c r="D63" i="1"/>
  <c r="D62" i="1"/>
  <c r="F61" i="1"/>
  <c r="B73" i="1"/>
  <c r="D73" i="1"/>
  <c r="D37" i="1"/>
  <c r="F38" i="1" s="1"/>
  <c r="O35" i="1" s="1"/>
  <c r="O36" i="1" s="1"/>
  <c r="O37" i="1" s="1"/>
  <c r="O38" i="1" s="1"/>
  <c r="O39" i="1" s="1"/>
  <c r="F94" i="1" l="1"/>
  <c r="P90" i="1" s="1"/>
  <c r="P91" i="1" s="1"/>
  <c r="P92" i="1" s="1"/>
  <c r="P93" i="1" s="1"/>
  <c r="P94" i="1" s="1"/>
  <c r="F92" i="1"/>
  <c r="N90" i="1" s="1"/>
  <c r="N91" i="1" s="1"/>
  <c r="N92" i="1" s="1"/>
  <c r="N93" i="1" s="1"/>
  <c r="N94" i="1" s="1"/>
  <c r="F87" i="1"/>
  <c r="N85" i="1" s="1"/>
  <c r="N86" i="1" s="1"/>
  <c r="N87" i="1" s="1"/>
  <c r="N88" i="1" s="1"/>
  <c r="N89" i="1" s="1"/>
  <c r="F27" i="1"/>
  <c r="N25" i="1" s="1"/>
  <c r="N26" i="1" s="1"/>
  <c r="N27" i="1" s="1"/>
  <c r="N28" i="1" s="1"/>
  <c r="N29" i="1" s="1"/>
  <c r="F54" i="1"/>
  <c r="P50" i="1" s="1"/>
  <c r="P51" i="1" s="1"/>
  <c r="P52" i="1" s="1"/>
  <c r="P53" i="1" s="1"/>
  <c r="P54" i="1" s="1"/>
  <c r="F93" i="1"/>
  <c r="O90" i="1" s="1"/>
  <c r="O91" i="1" s="1"/>
  <c r="O92" i="1" s="1"/>
  <c r="O93" i="1" s="1"/>
  <c r="O94" i="1" s="1"/>
  <c r="F53" i="1"/>
  <c r="O50" i="1" s="1"/>
  <c r="O51" i="1" s="1"/>
  <c r="O52" i="1" s="1"/>
  <c r="O53" i="1" s="1"/>
  <c r="O54" i="1" s="1"/>
  <c r="F29" i="1"/>
  <c r="P25" i="1" s="1"/>
  <c r="P26" i="1" s="1"/>
  <c r="P27" i="1" s="1"/>
  <c r="P28" i="1" s="1"/>
  <c r="P29" i="1" s="1"/>
  <c r="F19" i="1"/>
  <c r="P15" i="1" s="1"/>
  <c r="P16" i="1" s="1"/>
  <c r="P17" i="1" s="1"/>
  <c r="P18" i="1" s="1"/>
  <c r="P19" i="1" s="1"/>
  <c r="F17" i="1"/>
  <c r="N15" i="1" s="1"/>
  <c r="N16" i="1" s="1"/>
  <c r="N17" i="1" s="1"/>
  <c r="N18" i="1" s="1"/>
  <c r="N19" i="1" s="1"/>
  <c r="F18" i="1"/>
  <c r="O15" i="1" s="1"/>
  <c r="O16" i="1" s="1"/>
  <c r="O17" i="1" s="1"/>
  <c r="O18" i="1" s="1"/>
  <c r="O19" i="1" s="1"/>
  <c r="F33" i="1"/>
  <c r="O30" i="1" s="1"/>
  <c r="O31" i="1" s="1"/>
  <c r="O32" i="1" s="1"/>
  <c r="O33" i="1" s="1"/>
  <c r="O34" i="1" s="1"/>
  <c r="F82" i="1"/>
  <c r="N80" i="1" s="1"/>
  <c r="N81" i="1" s="1"/>
  <c r="N82" i="1" s="1"/>
  <c r="N83" i="1" s="1"/>
  <c r="N84" i="1" s="1"/>
  <c r="F49" i="1"/>
  <c r="P45" i="1" s="1"/>
  <c r="P46" i="1" s="1"/>
  <c r="P47" i="1" s="1"/>
  <c r="P48" i="1" s="1"/>
  <c r="P49" i="1" s="1"/>
  <c r="F14" i="1"/>
  <c r="P10" i="1" s="1"/>
  <c r="P11" i="1" s="1"/>
  <c r="P12" i="1" s="1"/>
  <c r="P13" i="1" s="1"/>
  <c r="P14" i="1" s="1"/>
  <c r="F37" i="1"/>
  <c r="N35" i="1" s="1"/>
  <c r="N36" i="1" s="1"/>
  <c r="N37" i="1" s="1"/>
  <c r="N38" i="1" s="1"/>
  <c r="N39" i="1" s="1"/>
  <c r="F34" i="1"/>
  <c r="P30" i="1" s="1"/>
  <c r="P31" i="1" s="1"/>
  <c r="P32" i="1" s="1"/>
  <c r="P33" i="1" s="1"/>
  <c r="P34" i="1" s="1"/>
  <c r="F44" i="1"/>
  <c r="P40" i="1" s="1"/>
  <c r="P41" i="1" s="1"/>
  <c r="P42" i="1" s="1"/>
  <c r="P43" i="1" s="1"/>
  <c r="P44" i="1" s="1"/>
  <c r="F89" i="1"/>
  <c r="P85" i="1" s="1"/>
  <c r="P86" i="1" s="1"/>
  <c r="P87" i="1" s="1"/>
  <c r="P88" i="1" s="1"/>
  <c r="P89" i="1" s="1"/>
  <c r="F62" i="1"/>
  <c r="N60" i="1" s="1"/>
  <c r="N61" i="1" s="1"/>
  <c r="N62" i="1" s="1"/>
  <c r="N63" i="1" s="1"/>
  <c r="N64" i="1" s="1"/>
  <c r="F48" i="1"/>
  <c r="O45" i="1" s="1"/>
  <c r="O46" i="1" s="1"/>
  <c r="O47" i="1" s="1"/>
  <c r="O48" i="1" s="1"/>
  <c r="O49" i="1" s="1"/>
  <c r="F79" i="1"/>
  <c r="P75" i="1" s="1"/>
  <c r="P76" i="1" s="1"/>
  <c r="P77" i="1" s="1"/>
  <c r="P78" i="1" s="1"/>
  <c r="P79" i="1" s="1"/>
  <c r="F32" i="1"/>
  <c r="N30" i="1" s="1"/>
  <c r="N31" i="1" s="1"/>
  <c r="N32" i="1" s="1"/>
  <c r="N33" i="1" s="1"/>
  <c r="N34" i="1" s="1"/>
  <c r="F28" i="1"/>
  <c r="O25" i="1" s="1"/>
  <c r="O26" i="1" s="1"/>
  <c r="O27" i="1" s="1"/>
  <c r="O28" i="1" s="1"/>
  <c r="O29" i="1" s="1"/>
  <c r="F13" i="1"/>
  <c r="O10" i="1" s="1"/>
  <c r="O11" i="1" s="1"/>
  <c r="O12" i="1" s="1"/>
  <c r="O13" i="1" s="1"/>
  <c r="O14" i="1" s="1"/>
  <c r="F57" i="1"/>
  <c r="N55" i="1" s="1"/>
  <c r="N56" i="1" s="1"/>
  <c r="N57" i="1" s="1"/>
  <c r="N58" i="1" s="1"/>
  <c r="N59" i="1" s="1"/>
  <c r="F97" i="1"/>
  <c r="N95" i="1" s="1"/>
  <c r="N96" i="1" s="1"/>
  <c r="N97" i="1" s="1"/>
  <c r="N98" i="1" s="1"/>
  <c r="N99" i="1" s="1"/>
  <c r="F63" i="1"/>
  <c r="O60" i="1" s="1"/>
  <c r="O61" i="1" s="1"/>
  <c r="O62" i="1" s="1"/>
  <c r="O63" i="1" s="1"/>
  <c r="O64" i="1" s="1"/>
  <c r="F64" i="1"/>
  <c r="P60" i="1" s="1"/>
  <c r="P61" i="1" s="1"/>
  <c r="P62" i="1" s="1"/>
  <c r="P63" i="1" s="1"/>
  <c r="P64" i="1" s="1"/>
  <c r="F98" i="1"/>
  <c r="O95" i="1" s="1"/>
  <c r="O96" i="1" s="1"/>
  <c r="O97" i="1" s="1"/>
  <c r="O98" i="1" s="1"/>
  <c r="O99" i="1" s="1"/>
  <c r="F99" i="1"/>
  <c r="P95" i="1" s="1"/>
  <c r="P96" i="1" s="1"/>
  <c r="P97" i="1" s="1"/>
  <c r="P98" i="1" s="1"/>
  <c r="P99" i="1" s="1"/>
  <c r="F39" i="1"/>
  <c r="P35" i="1" s="1"/>
  <c r="P36" i="1" s="1"/>
  <c r="P37" i="1" s="1"/>
  <c r="P38" i="1" s="1"/>
  <c r="P39" i="1" s="1"/>
  <c r="F22" i="1"/>
  <c r="N20" i="1" s="1"/>
  <c r="N21" i="1" s="1"/>
  <c r="N22" i="1" s="1"/>
  <c r="N23" i="1" s="1"/>
  <c r="N24" i="1" s="1"/>
  <c r="F58" i="1"/>
  <c r="O55" i="1" s="1"/>
  <c r="O56" i="1" s="1"/>
  <c r="O57" i="1" s="1"/>
  <c r="O58" i="1" s="1"/>
  <c r="O59" i="1" s="1"/>
  <c r="F59" i="1"/>
  <c r="P55" i="1" s="1"/>
  <c r="P56" i="1" s="1"/>
  <c r="P57" i="1" s="1"/>
  <c r="P58" i="1" s="1"/>
  <c r="P59" i="1" s="1"/>
  <c r="F73" i="1"/>
  <c r="O70" i="1" s="1"/>
  <c r="O71" i="1" s="1"/>
  <c r="O72" i="1" s="1"/>
  <c r="O73" i="1" s="1"/>
  <c r="O74" i="1" s="1"/>
  <c r="F74" i="1"/>
  <c r="P70" i="1" s="1"/>
  <c r="P71" i="1" s="1"/>
  <c r="P72" i="1" s="1"/>
  <c r="P73" i="1" s="1"/>
  <c r="P74" i="1" s="1"/>
  <c r="F24" i="1"/>
  <c r="P20" i="1" s="1"/>
  <c r="P21" i="1" s="1"/>
  <c r="P22" i="1" s="1"/>
  <c r="P23" i="1" s="1"/>
  <c r="P24" i="1" s="1"/>
</calcChain>
</file>

<file path=xl/sharedStrings.xml><?xml version="1.0" encoding="utf-8"?>
<sst xmlns="http://schemas.openxmlformats.org/spreadsheetml/2006/main" count="451" uniqueCount="75">
  <si>
    <t>Date:</t>
  </si>
  <si>
    <t>Time:</t>
  </si>
  <si>
    <t>Report image</t>
  </si>
  <si>
    <t>Id:</t>
  </si>
  <si>
    <t>Axis:</t>
  </si>
  <si>
    <t>N:</t>
  </si>
  <si>
    <t>From:</t>
  </si>
  <si>
    <t>To:</t>
  </si>
  <si>
    <t>Nominal:</t>
  </si>
  <si>
    <t>LIE:</t>
  </si>
  <si>
    <t>LSE:</t>
  </si>
  <si>
    <t>Average:</t>
  </si>
  <si>
    <t>Deviation:</t>
  </si>
  <si>
    <t>Cp:</t>
  </si>
  <si>
    <t>Cpk:</t>
  </si>
  <si>
    <t>Description:</t>
  </si>
  <si>
    <t>Last value:</t>
  </si>
  <si>
    <t>Pos X</t>
  </si>
  <si>
    <t>Group ID</t>
  </si>
  <si>
    <t>Deviation</t>
  </si>
  <si>
    <t>Cp</t>
  </si>
  <si>
    <t>Cpk</t>
  </si>
  <si>
    <t>Pos Y</t>
  </si>
  <si>
    <t>Pos Z</t>
  </si>
  <si>
    <t>Dist Y</t>
  </si>
  <si>
    <t>Group Description</t>
  </si>
  <si>
    <t>Axis</t>
  </si>
  <si>
    <t>Feature Id</t>
  </si>
  <si>
    <t>15/06/2026</t>
  </si>
  <si>
    <t>PART_CEP_REP</t>
  </si>
  <si>
    <t>Part Model N - Cep Report</t>
  </si>
  <si>
    <t>PART01</t>
  </si>
  <si>
    <t>Upper Sub-Assembly</t>
  </si>
  <si>
    <t>PART01_01L_X</t>
  </si>
  <si>
    <t>Upper Part Inboard LH Hole - Pos X</t>
  </si>
  <si>
    <t>PART01_01L_Y</t>
  </si>
  <si>
    <t>Upper Part Inboard LH Hole - Pos Y</t>
  </si>
  <si>
    <t>PART01_01L_Z</t>
  </si>
  <si>
    <t>Upper Part Inboard LH Hole - Pos Z</t>
  </si>
  <si>
    <t>PART01_01R_X</t>
  </si>
  <si>
    <t>Upper Part Inboard RH Hole - Pos X</t>
  </si>
  <si>
    <t>PART01_01R_Y</t>
  </si>
  <si>
    <t>Upper Part Inboard RH Hole - Pos Y</t>
  </si>
  <si>
    <t>PART01_01R_Z</t>
  </si>
  <si>
    <t>Upper Part Inboard RH Hole - Pos Z</t>
  </si>
  <si>
    <t>PART01_02R_X</t>
  </si>
  <si>
    <t>Upper Part Outboard RH Hole - Pos X</t>
  </si>
  <si>
    <t>PART01_02R_Y</t>
  </si>
  <si>
    <t>Upper Part Outboard RH Hole - Pos Y</t>
  </si>
  <si>
    <t>PART01_02R_Z</t>
  </si>
  <si>
    <t>Upper Part Outboard RH Hole - Pos Z</t>
  </si>
  <si>
    <t>PART01_P1_Y</t>
  </si>
  <si>
    <t>Lower Part - Outboard vs Outboard Holes - W-Pitch</t>
  </si>
  <si>
    <t>PART02</t>
  </si>
  <si>
    <t>Lower Sub-Assembly</t>
  </si>
  <si>
    <t>PART02_01L_X</t>
  </si>
  <si>
    <t>Lower Part Inboard LH Hole - Pos X</t>
  </si>
  <si>
    <t>PART02_01L_Y</t>
  </si>
  <si>
    <t>Lower Part Inboard LH Hole - Pos Y</t>
  </si>
  <si>
    <t>PART02_01L_Z</t>
  </si>
  <si>
    <t>Lower Part Inboard LH Hole - Pos Z</t>
  </si>
  <si>
    <t>PART02_01R_X</t>
  </si>
  <si>
    <t>Lower Part Inboard RH Hole - Pos X</t>
  </si>
  <si>
    <t>PART02_01R_Y</t>
  </si>
  <si>
    <t>Lower Part Inboard RH Hole - Pos Y</t>
  </si>
  <si>
    <t>PART02_01R_Z</t>
  </si>
  <si>
    <t>Lower Part Inboard RH Hole - Pos Z</t>
  </si>
  <si>
    <t>PART02_02R_X</t>
  </si>
  <si>
    <t>Lower Part Outboard Hole - Pos X</t>
  </si>
  <si>
    <t>PART02_02R_Y</t>
  </si>
  <si>
    <t>Lower Part Outboard Hole - Pos Y</t>
  </si>
  <si>
    <t>PART02_02R_Z</t>
  </si>
  <si>
    <t>Lower Part Outboard Hole - Pos Z</t>
  </si>
  <si>
    <t>PART02_P1_Y</t>
  </si>
  <si>
    <t>Lower Part - Inboard vs Outboard Holes - W-Pitch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</si>
</sst>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/>
    <xf numFmtId="0" fontId="1" fillId="0" borderId="0" xfId="0" applyFont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0" fillId="2" borderId="10" xfId="0" applyFill="1" applyBorder="1" applyAlignment="1" applyProtection="1">
      <alignment horizontal="center" vertical="center"/>
      <protection locked="0"/>
    </xf>
    <xf numFmtId="164" fontId="0" fillId="0" borderId="13" xfId="0" applyNumberFormat="1" applyBorder="1" applyAlignment="1">
      <alignment horizontal="center" vertical="center"/>
    </xf>
    <xf numFmtId="20" fontId="0" fillId="0" borderId="0" xfId="0" applyNumberFormat="1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2" fillId="4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2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20" xfId="0" applyFont="1" applyBorder="1" applyAlignment="1">
      <alignment horizontal="right" vertical="center"/>
    </xf>
    <xf numFmtId="14" fontId="0" fillId="0" borderId="0" xfId="0" applyNumberFormat="1" applyBorder="1" applyAlignment="1">
      <alignment horizontal="left" vertical="center"/>
    </xf>
    <xf numFmtId="0" fontId="2" fillId="0" borderId="0" xfId="0" applyFont="1" applyBorder="1" applyAlignment="1">
      <alignment horizontal="right" vertical="center"/>
    </xf>
    <xf numFmtId="20" fontId="0" fillId="0" borderId="0" xfId="0" applyNumberFormat="1" applyBorder="1" applyAlignment="1">
      <alignment horizontal="left" vertical="center"/>
    </xf>
    <xf numFmtId="0" fontId="0" fillId="0" borderId="0" xfId="0" applyBorder="1" applyAlignment="1">
      <alignment horizontal="right" vertical="center"/>
    </xf>
    <xf numFmtId="0" fontId="1" fillId="0" borderId="1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nominal</c:v>
          </c:tx>
          <c:spPr>
            <a:ln>
              <a:solidFill>
                <a:srgbClr val="92D050"/>
              </a:solidFill>
            </a:ln>
          </c:spPr>
          <c:marker>
            <c:symbol val="none"/>
          </c:marker>
          <c:cat>
            <c:multiLvlStrRef>
              <c:f>[0]!G1_XValues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[0]!G1_Nominal</c:f>
              <c:numCache>
                <c:formatCode>General</c:formatCode>
                <c:ptCount val="62"/>
                <c:pt idx="0">
                  <c:v>226.2</c:v>
                </c:pt>
                <c:pt idx="1">
                  <c:v>226.2</c:v>
                </c:pt>
                <c:pt idx="2">
                  <c:v>226.2</c:v>
                </c:pt>
                <c:pt idx="3">
                  <c:v>226.2</c:v>
                </c:pt>
                <c:pt idx="4">
                  <c:v>226.2</c:v>
                </c:pt>
                <c:pt idx="5">
                  <c:v>226.2</c:v>
                </c:pt>
                <c:pt idx="6">
                  <c:v>226.2</c:v>
                </c:pt>
                <c:pt idx="7">
                  <c:v>226.2</c:v>
                </c:pt>
                <c:pt idx="8">
                  <c:v>226.2</c:v>
                </c:pt>
                <c:pt idx="9">
                  <c:v>226.2</c:v>
                </c:pt>
                <c:pt idx="10">
                  <c:v>226.2</c:v>
                </c:pt>
                <c:pt idx="11">
                  <c:v>226.2</c:v>
                </c:pt>
                <c:pt idx="12">
                  <c:v>226.2</c:v>
                </c:pt>
                <c:pt idx="13">
                  <c:v>226.2</c:v>
                </c:pt>
                <c:pt idx="14">
                  <c:v>226.2</c:v>
                </c:pt>
                <c:pt idx="15">
                  <c:v>226.2</c:v>
                </c:pt>
                <c:pt idx="16">
                  <c:v>226.2</c:v>
                </c:pt>
                <c:pt idx="17">
                  <c:v>226.2</c:v>
                </c:pt>
                <c:pt idx="18">
                  <c:v>226.2</c:v>
                </c:pt>
                <c:pt idx="19">
                  <c:v>226.2</c:v>
                </c:pt>
                <c:pt idx="20">
                  <c:v>226.2</c:v>
                </c:pt>
                <c:pt idx="21">
                  <c:v>226.2</c:v>
                </c:pt>
                <c:pt idx="22">
                  <c:v>226.2</c:v>
                </c:pt>
                <c:pt idx="23">
                  <c:v>226.2</c:v>
                </c:pt>
                <c:pt idx="24">
                  <c:v>226.2</c:v>
                </c:pt>
                <c:pt idx="25">
                  <c:v>226.2</c:v>
                </c:pt>
                <c:pt idx="26">
                  <c:v>226.2</c:v>
                </c:pt>
                <c:pt idx="27">
                  <c:v>226.2</c:v>
                </c:pt>
                <c:pt idx="28">
                  <c:v>226.2</c:v>
                </c:pt>
                <c:pt idx="29">
                  <c:v>226.2</c:v>
                </c:pt>
                <c:pt idx="30">
                  <c:v>226.2</c:v>
                </c:pt>
                <c:pt idx="31">
                  <c:v>226.2</c:v>
                </c:pt>
                <c:pt idx="32">
                  <c:v>226.2</c:v>
                </c:pt>
                <c:pt idx="33">
                  <c:v>226.2</c:v>
                </c:pt>
                <c:pt idx="34">
                  <c:v>226.2</c:v>
                </c:pt>
                <c:pt idx="35">
                  <c:v>226.2</c:v>
                </c:pt>
                <c:pt idx="36">
                  <c:v>226.2</c:v>
                </c:pt>
                <c:pt idx="37">
                  <c:v>226.2</c:v>
                </c:pt>
                <c:pt idx="38">
                  <c:v>226.2</c:v>
                </c:pt>
                <c:pt idx="39">
                  <c:v>226.2</c:v>
                </c:pt>
                <c:pt idx="40">
                  <c:v>226.2</c:v>
                </c:pt>
                <c:pt idx="41">
                  <c:v>226.2</c:v>
                </c:pt>
                <c:pt idx="42">
                  <c:v>226.2</c:v>
                </c:pt>
                <c:pt idx="43">
                  <c:v>226.2</c:v>
                </c:pt>
                <c:pt idx="44">
                  <c:v>226.2</c:v>
                </c:pt>
                <c:pt idx="45">
                  <c:v>226.2</c:v>
                </c:pt>
                <c:pt idx="46">
                  <c:v>226.2</c:v>
                </c:pt>
                <c:pt idx="47">
                  <c:v>226.2</c:v>
                </c:pt>
                <c:pt idx="48">
                  <c:v>226.2</c:v>
                </c:pt>
                <c:pt idx="49">
                  <c:v>226.2</c:v>
                </c:pt>
                <c:pt idx="50">
                  <c:v>226.2</c:v>
                </c:pt>
                <c:pt idx="51">
                  <c:v>226.2</c:v>
                </c:pt>
                <c:pt idx="52">
                  <c:v>226.2</c:v>
                </c:pt>
                <c:pt idx="53">
                  <c:v>226.2</c:v>
                </c:pt>
                <c:pt idx="54">
                  <c:v>226.2</c:v>
                </c:pt>
                <c:pt idx="55">
                  <c:v>226.2</c:v>
                </c:pt>
                <c:pt idx="56">
                  <c:v>226.2</c:v>
                </c:pt>
                <c:pt idx="57">
                  <c:v>226.2</c:v>
                </c:pt>
                <c:pt idx="58">
                  <c:v>226.2</c:v>
                </c:pt>
                <c:pt idx="59">
                  <c:v>226.2</c:v>
                </c:pt>
                <c:pt idx="60">
                  <c:v>226.2</c:v>
                </c:pt>
                <c:pt idx="61">
                  <c:v>226.2</c:v>
                </c:pt>
              </c:numCache>
            </c:numRef>
          </c:val>
          <c:smooth val="0"/>
        </c:ser>
        <c:ser>
          <c:idx val="1"/>
          <c:order val="1"/>
          <c:tx>
            <c:v>lie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[0]!G1_XValues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[0]!G1_Lie</c:f>
              <c:numCache>
                <c:formatCode>General</c:formatCode>
                <c:ptCount val="62"/>
                <c:pt idx="0">
                  <c:v>223.2</c:v>
                </c:pt>
                <c:pt idx="1">
                  <c:v>223.2</c:v>
                </c:pt>
                <c:pt idx="2">
                  <c:v>223.2</c:v>
                </c:pt>
                <c:pt idx="3">
                  <c:v>223.2</c:v>
                </c:pt>
                <c:pt idx="4">
                  <c:v>223.2</c:v>
                </c:pt>
                <c:pt idx="5">
                  <c:v>223.2</c:v>
                </c:pt>
                <c:pt idx="6">
                  <c:v>223.2</c:v>
                </c:pt>
                <c:pt idx="7">
                  <c:v>223.2</c:v>
                </c:pt>
                <c:pt idx="8">
                  <c:v>223.2</c:v>
                </c:pt>
                <c:pt idx="9">
                  <c:v>223.2</c:v>
                </c:pt>
                <c:pt idx="10">
                  <c:v>223.2</c:v>
                </c:pt>
                <c:pt idx="11">
                  <c:v>223.2</c:v>
                </c:pt>
                <c:pt idx="12">
                  <c:v>223.2</c:v>
                </c:pt>
                <c:pt idx="13">
                  <c:v>223.2</c:v>
                </c:pt>
                <c:pt idx="14">
                  <c:v>223.2</c:v>
                </c:pt>
                <c:pt idx="15">
                  <c:v>223.2</c:v>
                </c:pt>
                <c:pt idx="16">
                  <c:v>223.2</c:v>
                </c:pt>
                <c:pt idx="17">
                  <c:v>223.2</c:v>
                </c:pt>
                <c:pt idx="18">
                  <c:v>223.2</c:v>
                </c:pt>
                <c:pt idx="19">
                  <c:v>223.2</c:v>
                </c:pt>
                <c:pt idx="20">
                  <c:v>223.2</c:v>
                </c:pt>
                <c:pt idx="21">
                  <c:v>223.2</c:v>
                </c:pt>
                <c:pt idx="22">
                  <c:v>223.2</c:v>
                </c:pt>
                <c:pt idx="23">
                  <c:v>223.2</c:v>
                </c:pt>
                <c:pt idx="24">
                  <c:v>223.2</c:v>
                </c:pt>
                <c:pt idx="25">
                  <c:v>223.2</c:v>
                </c:pt>
                <c:pt idx="26">
                  <c:v>223.2</c:v>
                </c:pt>
                <c:pt idx="27">
                  <c:v>223.2</c:v>
                </c:pt>
                <c:pt idx="28">
                  <c:v>223.2</c:v>
                </c:pt>
                <c:pt idx="29">
                  <c:v>223.2</c:v>
                </c:pt>
                <c:pt idx="30">
                  <c:v>223.2</c:v>
                </c:pt>
                <c:pt idx="31">
                  <c:v>223.2</c:v>
                </c:pt>
                <c:pt idx="32">
                  <c:v>223.2</c:v>
                </c:pt>
                <c:pt idx="33">
                  <c:v>223.2</c:v>
                </c:pt>
                <c:pt idx="34">
                  <c:v>223.2</c:v>
                </c:pt>
                <c:pt idx="35">
                  <c:v>223.2</c:v>
                </c:pt>
                <c:pt idx="36">
                  <c:v>223.2</c:v>
                </c:pt>
                <c:pt idx="37">
                  <c:v>223.2</c:v>
                </c:pt>
                <c:pt idx="38">
                  <c:v>223.2</c:v>
                </c:pt>
                <c:pt idx="39">
                  <c:v>223.2</c:v>
                </c:pt>
                <c:pt idx="40">
                  <c:v>223.2</c:v>
                </c:pt>
                <c:pt idx="41">
                  <c:v>223.2</c:v>
                </c:pt>
                <c:pt idx="42">
                  <c:v>223.2</c:v>
                </c:pt>
                <c:pt idx="43">
                  <c:v>223.2</c:v>
                </c:pt>
                <c:pt idx="44">
                  <c:v>223.2</c:v>
                </c:pt>
                <c:pt idx="45">
                  <c:v>223.2</c:v>
                </c:pt>
                <c:pt idx="46">
                  <c:v>223.2</c:v>
                </c:pt>
                <c:pt idx="47">
                  <c:v>223.2</c:v>
                </c:pt>
                <c:pt idx="48">
                  <c:v>223.2</c:v>
                </c:pt>
                <c:pt idx="49">
                  <c:v>223.2</c:v>
                </c:pt>
                <c:pt idx="50">
                  <c:v>223.2</c:v>
                </c:pt>
                <c:pt idx="51">
                  <c:v>223.2</c:v>
                </c:pt>
                <c:pt idx="52">
                  <c:v>223.2</c:v>
                </c:pt>
                <c:pt idx="53">
                  <c:v>223.2</c:v>
                </c:pt>
                <c:pt idx="54">
                  <c:v>223.2</c:v>
                </c:pt>
                <c:pt idx="55">
                  <c:v>223.2</c:v>
                </c:pt>
                <c:pt idx="56">
                  <c:v>223.2</c:v>
                </c:pt>
                <c:pt idx="57">
                  <c:v>223.2</c:v>
                </c:pt>
                <c:pt idx="58">
                  <c:v>223.2</c:v>
                </c:pt>
                <c:pt idx="59">
                  <c:v>223.2</c:v>
                </c:pt>
                <c:pt idx="60">
                  <c:v>223.2</c:v>
                </c:pt>
                <c:pt idx="61">
                  <c:v>223.2</c:v>
                </c:pt>
              </c:numCache>
            </c:numRef>
          </c:val>
          <c:smooth val="0"/>
        </c:ser>
        <c:ser>
          <c:idx val="2"/>
          <c:order val="2"/>
          <c:tx>
            <c:v>lse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[0]!G1_XValues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[0]!G1_Lse</c:f>
              <c:numCache>
                <c:formatCode>General</c:formatCode>
                <c:ptCount val="62"/>
                <c:pt idx="0">
                  <c:v>229.2</c:v>
                </c:pt>
                <c:pt idx="1">
                  <c:v>229.2</c:v>
                </c:pt>
                <c:pt idx="2">
                  <c:v>229.2</c:v>
                </c:pt>
                <c:pt idx="3">
                  <c:v>229.2</c:v>
                </c:pt>
                <c:pt idx="4">
                  <c:v>229.2</c:v>
                </c:pt>
                <c:pt idx="5">
                  <c:v>229.2</c:v>
                </c:pt>
                <c:pt idx="6">
                  <c:v>229.2</c:v>
                </c:pt>
                <c:pt idx="7">
                  <c:v>229.2</c:v>
                </c:pt>
                <c:pt idx="8">
                  <c:v>229.2</c:v>
                </c:pt>
                <c:pt idx="9">
                  <c:v>229.2</c:v>
                </c:pt>
                <c:pt idx="10">
                  <c:v>229.2</c:v>
                </c:pt>
                <c:pt idx="11">
                  <c:v>229.2</c:v>
                </c:pt>
                <c:pt idx="12">
                  <c:v>229.2</c:v>
                </c:pt>
                <c:pt idx="13">
                  <c:v>229.2</c:v>
                </c:pt>
                <c:pt idx="14">
                  <c:v>229.2</c:v>
                </c:pt>
                <c:pt idx="15">
                  <c:v>229.2</c:v>
                </c:pt>
                <c:pt idx="16">
                  <c:v>229.2</c:v>
                </c:pt>
                <c:pt idx="17">
                  <c:v>229.2</c:v>
                </c:pt>
                <c:pt idx="18">
                  <c:v>229.2</c:v>
                </c:pt>
                <c:pt idx="19">
                  <c:v>229.2</c:v>
                </c:pt>
                <c:pt idx="20">
                  <c:v>229.2</c:v>
                </c:pt>
                <c:pt idx="21">
                  <c:v>229.2</c:v>
                </c:pt>
                <c:pt idx="22">
                  <c:v>229.2</c:v>
                </c:pt>
                <c:pt idx="23">
                  <c:v>229.2</c:v>
                </c:pt>
                <c:pt idx="24">
                  <c:v>229.2</c:v>
                </c:pt>
                <c:pt idx="25">
                  <c:v>229.2</c:v>
                </c:pt>
                <c:pt idx="26">
                  <c:v>229.2</c:v>
                </c:pt>
                <c:pt idx="27">
                  <c:v>229.2</c:v>
                </c:pt>
                <c:pt idx="28">
                  <c:v>229.2</c:v>
                </c:pt>
                <c:pt idx="29">
                  <c:v>229.2</c:v>
                </c:pt>
                <c:pt idx="30">
                  <c:v>229.2</c:v>
                </c:pt>
                <c:pt idx="31">
                  <c:v>229.2</c:v>
                </c:pt>
                <c:pt idx="32">
                  <c:v>229.2</c:v>
                </c:pt>
                <c:pt idx="33">
                  <c:v>229.2</c:v>
                </c:pt>
                <c:pt idx="34">
                  <c:v>229.2</c:v>
                </c:pt>
                <c:pt idx="35">
                  <c:v>229.2</c:v>
                </c:pt>
                <c:pt idx="36">
                  <c:v>229.2</c:v>
                </c:pt>
                <c:pt idx="37">
                  <c:v>229.2</c:v>
                </c:pt>
                <c:pt idx="38">
                  <c:v>229.2</c:v>
                </c:pt>
                <c:pt idx="39">
                  <c:v>229.2</c:v>
                </c:pt>
                <c:pt idx="40">
                  <c:v>229.2</c:v>
                </c:pt>
                <c:pt idx="41">
                  <c:v>229.2</c:v>
                </c:pt>
                <c:pt idx="42">
                  <c:v>229.2</c:v>
                </c:pt>
                <c:pt idx="43">
                  <c:v>229.2</c:v>
                </c:pt>
                <c:pt idx="44">
                  <c:v>229.2</c:v>
                </c:pt>
                <c:pt idx="45">
                  <c:v>229.2</c:v>
                </c:pt>
                <c:pt idx="46">
                  <c:v>229.2</c:v>
                </c:pt>
                <c:pt idx="47">
                  <c:v>229.2</c:v>
                </c:pt>
                <c:pt idx="48">
                  <c:v>229.2</c:v>
                </c:pt>
                <c:pt idx="49">
                  <c:v>229.2</c:v>
                </c:pt>
                <c:pt idx="50">
                  <c:v>229.2</c:v>
                </c:pt>
                <c:pt idx="51">
                  <c:v>229.2</c:v>
                </c:pt>
                <c:pt idx="52">
                  <c:v>229.2</c:v>
                </c:pt>
                <c:pt idx="53">
                  <c:v>229.2</c:v>
                </c:pt>
                <c:pt idx="54">
                  <c:v>229.2</c:v>
                </c:pt>
                <c:pt idx="55">
                  <c:v>229.2</c:v>
                </c:pt>
                <c:pt idx="56">
                  <c:v>229.2</c:v>
                </c:pt>
                <c:pt idx="57">
                  <c:v>229.2</c:v>
                </c:pt>
                <c:pt idx="58">
                  <c:v>229.2</c:v>
                </c:pt>
                <c:pt idx="59">
                  <c:v>229.2</c:v>
                </c:pt>
                <c:pt idx="60">
                  <c:v>229.2</c:v>
                </c:pt>
                <c:pt idx="61">
                  <c:v>229.2</c:v>
                </c:pt>
              </c:numCache>
            </c:numRef>
          </c:val>
          <c:smooth val="0"/>
        </c:ser>
        <c:ser>
          <c:idx val="3"/>
          <c:order val="3"/>
          <c:tx>
            <c:v>data</c:v>
          </c:tx>
          <c:spPr>
            <a:ln>
              <a:solidFill>
                <a:schemeClr val="accent1"/>
              </a:solidFill>
            </a:ln>
          </c:spPr>
          <c:marker>
            <c:symbol val="circle"/>
            <c:size val="4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cat>
            <c:multiLvlStrRef>
              <c:f>[0]!G1_XValues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[0]!G1_Data</c:f>
              <c:numCache>
                <c:formatCode>General</c:formatCode>
                <c:ptCount val="62"/>
                <c:pt idx="0">
                  <c:v>226.02</c:v>
                </c:pt>
                <c:pt idx="1">
                  <c:v>227.21</c:v>
                </c:pt>
                <c:pt idx="2">
                  <c:v>227.46</c:v>
                </c:pt>
                <c:pt idx="3">
                  <c:v>227.7</c:v>
                </c:pt>
                <c:pt idx="4">
                  <c:v>226.5</c:v>
                </c:pt>
                <c:pt idx="5">
                  <c:v>227</c:v>
                </c:pt>
                <c:pt idx="6">
                  <c:v>226.7</c:v>
                </c:pt>
                <c:pt idx="7">
                  <c:v>226</c:v>
                </c:pt>
                <c:pt idx="8">
                  <c:v>226.5</c:v>
                </c:pt>
                <c:pt idx="9">
                  <c:v>227.44</c:v>
                </c:pt>
                <c:pt idx="10">
                  <c:v>226.8</c:v>
                </c:pt>
                <c:pt idx="11">
                  <c:v>227.06</c:v>
                </c:pt>
                <c:pt idx="12">
                  <c:v>226.43</c:v>
                </c:pt>
                <c:pt idx="13">
                  <c:v>227.24</c:v>
                </c:pt>
                <c:pt idx="14">
                  <c:v>227.23</c:v>
                </c:pt>
                <c:pt idx="15">
                  <c:v>227.47</c:v>
                </c:pt>
                <c:pt idx="16">
                  <c:v>226.74</c:v>
                </c:pt>
                <c:pt idx="17">
                  <c:v>227.59</c:v>
                </c:pt>
                <c:pt idx="18">
                  <c:v>227.7</c:v>
                </c:pt>
                <c:pt idx="19">
                  <c:v>227.2</c:v>
                </c:pt>
                <c:pt idx="20">
                  <c:v>226.8</c:v>
                </c:pt>
                <c:pt idx="21">
                  <c:v>227.63</c:v>
                </c:pt>
                <c:pt idx="22">
                  <c:v>227.2</c:v>
                </c:pt>
                <c:pt idx="23">
                  <c:v>227.2</c:v>
                </c:pt>
                <c:pt idx="24">
                  <c:v>227.3</c:v>
                </c:pt>
                <c:pt idx="25">
                  <c:v>227.6</c:v>
                </c:pt>
                <c:pt idx="26">
                  <c:v>227.2</c:v>
                </c:pt>
                <c:pt idx="27">
                  <c:v>226.95</c:v>
                </c:pt>
                <c:pt idx="28">
                  <c:v>225.6</c:v>
                </c:pt>
                <c:pt idx="29">
                  <c:v>227.36</c:v>
                </c:pt>
                <c:pt idx="30">
                  <c:v>227.37</c:v>
                </c:pt>
                <c:pt idx="31">
                  <c:v>226.88</c:v>
                </c:pt>
                <c:pt idx="32">
                  <c:v>226.15</c:v>
                </c:pt>
                <c:pt idx="33">
                  <c:v>226.36</c:v>
                </c:pt>
                <c:pt idx="34">
                  <c:v>226.6</c:v>
                </c:pt>
                <c:pt idx="35">
                  <c:v>226.6</c:v>
                </c:pt>
                <c:pt idx="36">
                  <c:v>227.38</c:v>
                </c:pt>
                <c:pt idx="37">
                  <c:v>227.08</c:v>
                </c:pt>
                <c:pt idx="38">
                  <c:v>226.53</c:v>
                </c:pt>
                <c:pt idx="39">
                  <c:v>226.39</c:v>
                </c:pt>
                <c:pt idx="40">
                  <c:v>227.43</c:v>
                </c:pt>
                <c:pt idx="41">
                  <c:v>226.29</c:v>
                </c:pt>
                <c:pt idx="42">
                  <c:v>227.21</c:v>
                </c:pt>
                <c:pt idx="43">
                  <c:v>227.35</c:v>
                </c:pt>
                <c:pt idx="44">
                  <c:v>227.29</c:v>
                </c:pt>
                <c:pt idx="45">
                  <c:v>227.22</c:v>
                </c:pt>
                <c:pt idx="46">
                  <c:v>226.52</c:v>
                </c:pt>
                <c:pt idx="47">
                  <c:v>227.16</c:v>
                </c:pt>
                <c:pt idx="48">
                  <c:v>227.08</c:v>
                </c:pt>
                <c:pt idx="49">
                  <c:v>227.46</c:v>
                </c:pt>
                <c:pt idx="50">
                  <c:v>227.17</c:v>
                </c:pt>
                <c:pt idx="51">
                  <c:v>226.42</c:v>
                </c:pt>
                <c:pt idx="52">
                  <c:v>227.07</c:v>
                </c:pt>
                <c:pt idx="53">
                  <c:v>226.99</c:v>
                </c:pt>
                <c:pt idx="54">
                  <c:v>227.01</c:v>
                </c:pt>
                <c:pt idx="55">
                  <c:v>226.75</c:v>
                </c:pt>
                <c:pt idx="56">
                  <c:v>226.66</c:v>
                </c:pt>
                <c:pt idx="57">
                  <c:v>226.84</c:v>
                </c:pt>
                <c:pt idx="58">
                  <c:v>226.43</c:v>
                </c:pt>
                <c:pt idx="59">
                  <c:v>226.71</c:v>
                </c:pt>
                <c:pt idx="60">
                  <c:v>227.62</c:v>
                </c:pt>
                <c:pt idx="61">
                  <c:v>227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388416"/>
        <c:axId val="75390336"/>
      </c:lineChart>
      <c:catAx>
        <c:axId val="75388416"/>
        <c:scaling>
          <c:orientation val="minMax"/>
        </c:scaling>
        <c:delete val="1"/>
        <c:axPos val="b"/>
        <c:majorTickMark val="out"/>
        <c:minorTickMark val="none"/>
        <c:tickLblPos val="nextTo"/>
        <c:crossAx val="75390336"/>
        <c:crosses val="autoZero"/>
        <c:auto val="0"/>
        <c:lblAlgn val="ctr"/>
        <c:lblOffset val="100"/>
        <c:noMultiLvlLbl val="1"/>
      </c:catAx>
      <c:valAx>
        <c:axId val="753903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5388416"/>
        <c:crosses val="autoZero"/>
        <c:crossBetween val="midCat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nominal</c:v>
          </c:tx>
          <c:spPr>
            <a:ln>
              <a:solidFill>
                <a:srgbClr val="92D050"/>
              </a:solidFill>
            </a:ln>
          </c:spPr>
          <c:marker>
            <c:symbol val="none"/>
          </c:marker>
          <c:cat>
            <c:multiLvlStrRef>
              <c:f>[0]!G2_XValues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[0]!G2_Nominal</c:f>
              <c:numCache>
                <c:formatCode>General</c:formatCode>
                <c:ptCount val="62"/>
                <c:pt idx="0">
                  <c:v>-326</c:v>
                </c:pt>
                <c:pt idx="1">
                  <c:v>-326</c:v>
                </c:pt>
                <c:pt idx="2">
                  <c:v>-326</c:v>
                </c:pt>
                <c:pt idx="3">
                  <c:v>-326</c:v>
                </c:pt>
                <c:pt idx="4">
                  <c:v>-326</c:v>
                </c:pt>
                <c:pt idx="5">
                  <c:v>-326</c:v>
                </c:pt>
                <c:pt idx="6">
                  <c:v>-326</c:v>
                </c:pt>
                <c:pt idx="7">
                  <c:v>-326</c:v>
                </c:pt>
                <c:pt idx="8">
                  <c:v>-326</c:v>
                </c:pt>
                <c:pt idx="9">
                  <c:v>-326</c:v>
                </c:pt>
                <c:pt idx="10">
                  <c:v>-326</c:v>
                </c:pt>
                <c:pt idx="11">
                  <c:v>-326</c:v>
                </c:pt>
                <c:pt idx="12">
                  <c:v>-326</c:v>
                </c:pt>
                <c:pt idx="13">
                  <c:v>-326</c:v>
                </c:pt>
                <c:pt idx="14">
                  <c:v>-326</c:v>
                </c:pt>
                <c:pt idx="15">
                  <c:v>-326</c:v>
                </c:pt>
                <c:pt idx="16">
                  <c:v>-326</c:v>
                </c:pt>
                <c:pt idx="17">
                  <c:v>-326</c:v>
                </c:pt>
                <c:pt idx="18">
                  <c:v>-326</c:v>
                </c:pt>
                <c:pt idx="19">
                  <c:v>-326</c:v>
                </c:pt>
                <c:pt idx="20">
                  <c:v>-326</c:v>
                </c:pt>
                <c:pt idx="21">
                  <c:v>-326</c:v>
                </c:pt>
                <c:pt idx="22">
                  <c:v>-326</c:v>
                </c:pt>
                <c:pt idx="23">
                  <c:v>-326</c:v>
                </c:pt>
                <c:pt idx="24">
                  <c:v>-326</c:v>
                </c:pt>
                <c:pt idx="25">
                  <c:v>-326</c:v>
                </c:pt>
                <c:pt idx="26">
                  <c:v>-326</c:v>
                </c:pt>
                <c:pt idx="27">
                  <c:v>-326</c:v>
                </c:pt>
                <c:pt idx="28">
                  <c:v>-326</c:v>
                </c:pt>
                <c:pt idx="29">
                  <c:v>-326</c:v>
                </c:pt>
                <c:pt idx="30">
                  <c:v>-326</c:v>
                </c:pt>
                <c:pt idx="31">
                  <c:v>-326</c:v>
                </c:pt>
                <c:pt idx="32">
                  <c:v>-326</c:v>
                </c:pt>
                <c:pt idx="33">
                  <c:v>-326</c:v>
                </c:pt>
                <c:pt idx="34">
                  <c:v>-326</c:v>
                </c:pt>
                <c:pt idx="35">
                  <c:v>-326</c:v>
                </c:pt>
                <c:pt idx="36">
                  <c:v>-326</c:v>
                </c:pt>
                <c:pt idx="37">
                  <c:v>-326</c:v>
                </c:pt>
                <c:pt idx="38">
                  <c:v>-326</c:v>
                </c:pt>
                <c:pt idx="39">
                  <c:v>-326</c:v>
                </c:pt>
                <c:pt idx="40">
                  <c:v>-326</c:v>
                </c:pt>
                <c:pt idx="41">
                  <c:v>-326</c:v>
                </c:pt>
                <c:pt idx="42">
                  <c:v>-326</c:v>
                </c:pt>
                <c:pt idx="43">
                  <c:v>-326</c:v>
                </c:pt>
                <c:pt idx="44">
                  <c:v>-326</c:v>
                </c:pt>
                <c:pt idx="45">
                  <c:v>-326</c:v>
                </c:pt>
                <c:pt idx="46">
                  <c:v>-326</c:v>
                </c:pt>
                <c:pt idx="47">
                  <c:v>-326</c:v>
                </c:pt>
                <c:pt idx="48">
                  <c:v>-326</c:v>
                </c:pt>
                <c:pt idx="49">
                  <c:v>-326</c:v>
                </c:pt>
                <c:pt idx="50">
                  <c:v>-326</c:v>
                </c:pt>
                <c:pt idx="51">
                  <c:v>-326</c:v>
                </c:pt>
                <c:pt idx="52">
                  <c:v>-326</c:v>
                </c:pt>
                <c:pt idx="53">
                  <c:v>-326</c:v>
                </c:pt>
                <c:pt idx="54">
                  <c:v>-326</c:v>
                </c:pt>
                <c:pt idx="55">
                  <c:v>-326</c:v>
                </c:pt>
                <c:pt idx="56">
                  <c:v>-326</c:v>
                </c:pt>
                <c:pt idx="57">
                  <c:v>-326</c:v>
                </c:pt>
                <c:pt idx="58">
                  <c:v>-326</c:v>
                </c:pt>
                <c:pt idx="59">
                  <c:v>-326</c:v>
                </c:pt>
                <c:pt idx="60">
                  <c:v>-326</c:v>
                </c:pt>
                <c:pt idx="61">
                  <c:v>-326</c:v>
                </c:pt>
              </c:numCache>
            </c:numRef>
          </c:val>
          <c:smooth val="0"/>
        </c:ser>
        <c:ser>
          <c:idx val="1"/>
          <c:order val="1"/>
          <c:tx>
            <c:v>lie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[0]!G2_XValues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[0]!G2_Lie</c:f>
              <c:numCache>
                <c:formatCode>General</c:formatCode>
                <c:ptCount val="62"/>
                <c:pt idx="0">
                  <c:v>-329</c:v>
                </c:pt>
                <c:pt idx="1">
                  <c:v>-329</c:v>
                </c:pt>
                <c:pt idx="2">
                  <c:v>-329</c:v>
                </c:pt>
                <c:pt idx="3">
                  <c:v>-329</c:v>
                </c:pt>
                <c:pt idx="4">
                  <c:v>-329</c:v>
                </c:pt>
                <c:pt idx="5">
                  <c:v>-329</c:v>
                </c:pt>
                <c:pt idx="6">
                  <c:v>-329</c:v>
                </c:pt>
                <c:pt idx="7">
                  <c:v>-329</c:v>
                </c:pt>
                <c:pt idx="8">
                  <c:v>-329</c:v>
                </c:pt>
                <c:pt idx="9">
                  <c:v>-329</c:v>
                </c:pt>
                <c:pt idx="10">
                  <c:v>-329</c:v>
                </c:pt>
                <c:pt idx="11">
                  <c:v>-329</c:v>
                </c:pt>
                <c:pt idx="12">
                  <c:v>-329</c:v>
                </c:pt>
                <c:pt idx="13">
                  <c:v>-329</c:v>
                </c:pt>
                <c:pt idx="14">
                  <c:v>-329</c:v>
                </c:pt>
                <c:pt idx="15">
                  <c:v>-329</c:v>
                </c:pt>
                <c:pt idx="16">
                  <c:v>-329</c:v>
                </c:pt>
                <c:pt idx="17">
                  <c:v>-329</c:v>
                </c:pt>
                <c:pt idx="18">
                  <c:v>-329</c:v>
                </c:pt>
                <c:pt idx="19">
                  <c:v>-329</c:v>
                </c:pt>
                <c:pt idx="20">
                  <c:v>-329</c:v>
                </c:pt>
                <c:pt idx="21">
                  <c:v>-329</c:v>
                </c:pt>
                <c:pt idx="22">
                  <c:v>-329</c:v>
                </c:pt>
                <c:pt idx="23">
                  <c:v>-329</c:v>
                </c:pt>
                <c:pt idx="24">
                  <c:v>-329</c:v>
                </c:pt>
                <c:pt idx="25">
                  <c:v>-329</c:v>
                </c:pt>
                <c:pt idx="26">
                  <c:v>-329</c:v>
                </c:pt>
                <c:pt idx="27">
                  <c:v>-329</c:v>
                </c:pt>
                <c:pt idx="28">
                  <c:v>-329</c:v>
                </c:pt>
                <c:pt idx="29">
                  <c:v>-329</c:v>
                </c:pt>
                <c:pt idx="30">
                  <c:v>-329</c:v>
                </c:pt>
                <c:pt idx="31">
                  <c:v>-329</c:v>
                </c:pt>
                <c:pt idx="32">
                  <c:v>-329</c:v>
                </c:pt>
                <c:pt idx="33">
                  <c:v>-329</c:v>
                </c:pt>
                <c:pt idx="34">
                  <c:v>-329</c:v>
                </c:pt>
                <c:pt idx="35">
                  <c:v>-329</c:v>
                </c:pt>
                <c:pt idx="36">
                  <c:v>-329</c:v>
                </c:pt>
                <c:pt idx="37">
                  <c:v>-329</c:v>
                </c:pt>
                <c:pt idx="38">
                  <c:v>-329</c:v>
                </c:pt>
                <c:pt idx="39">
                  <c:v>-329</c:v>
                </c:pt>
                <c:pt idx="40">
                  <c:v>-329</c:v>
                </c:pt>
                <c:pt idx="41">
                  <c:v>-329</c:v>
                </c:pt>
                <c:pt idx="42">
                  <c:v>-329</c:v>
                </c:pt>
                <c:pt idx="43">
                  <c:v>-329</c:v>
                </c:pt>
                <c:pt idx="44">
                  <c:v>-329</c:v>
                </c:pt>
                <c:pt idx="45">
                  <c:v>-329</c:v>
                </c:pt>
                <c:pt idx="46">
                  <c:v>-329</c:v>
                </c:pt>
                <c:pt idx="47">
                  <c:v>-329</c:v>
                </c:pt>
                <c:pt idx="48">
                  <c:v>-329</c:v>
                </c:pt>
                <c:pt idx="49">
                  <c:v>-329</c:v>
                </c:pt>
                <c:pt idx="50">
                  <c:v>-329</c:v>
                </c:pt>
                <c:pt idx="51">
                  <c:v>-329</c:v>
                </c:pt>
                <c:pt idx="52">
                  <c:v>-329</c:v>
                </c:pt>
                <c:pt idx="53">
                  <c:v>-329</c:v>
                </c:pt>
                <c:pt idx="54">
                  <c:v>-329</c:v>
                </c:pt>
                <c:pt idx="55">
                  <c:v>-329</c:v>
                </c:pt>
                <c:pt idx="56">
                  <c:v>-329</c:v>
                </c:pt>
                <c:pt idx="57">
                  <c:v>-329</c:v>
                </c:pt>
                <c:pt idx="58">
                  <c:v>-329</c:v>
                </c:pt>
                <c:pt idx="59">
                  <c:v>-329</c:v>
                </c:pt>
                <c:pt idx="60">
                  <c:v>-329</c:v>
                </c:pt>
                <c:pt idx="61">
                  <c:v>-329</c:v>
                </c:pt>
              </c:numCache>
            </c:numRef>
          </c:val>
          <c:smooth val="0"/>
        </c:ser>
        <c:ser>
          <c:idx val="2"/>
          <c:order val="2"/>
          <c:tx>
            <c:v>lse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[0]!G2_XValues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[0]!G2_Lse</c:f>
              <c:numCache>
                <c:formatCode>General</c:formatCode>
                <c:ptCount val="62"/>
                <c:pt idx="0">
                  <c:v>-323</c:v>
                </c:pt>
                <c:pt idx="1">
                  <c:v>-323</c:v>
                </c:pt>
                <c:pt idx="2">
                  <c:v>-323</c:v>
                </c:pt>
                <c:pt idx="3">
                  <c:v>-323</c:v>
                </c:pt>
                <c:pt idx="4">
                  <c:v>-323</c:v>
                </c:pt>
                <c:pt idx="5">
                  <c:v>-323</c:v>
                </c:pt>
                <c:pt idx="6">
                  <c:v>-323</c:v>
                </c:pt>
                <c:pt idx="7">
                  <c:v>-323</c:v>
                </c:pt>
                <c:pt idx="8">
                  <c:v>-323</c:v>
                </c:pt>
                <c:pt idx="9">
                  <c:v>-323</c:v>
                </c:pt>
                <c:pt idx="10">
                  <c:v>-323</c:v>
                </c:pt>
                <c:pt idx="11">
                  <c:v>-323</c:v>
                </c:pt>
                <c:pt idx="12">
                  <c:v>-323</c:v>
                </c:pt>
                <c:pt idx="13">
                  <c:v>-323</c:v>
                </c:pt>
                <c:pt idx="14">
                  <c:v>-323</c:v>
                </c:pt>
                <c:pt idx="15">
                  <c:v>-323</c:v>
                </c:pt>
                <c:pt idx="16">
                  <c:v>-323</c:v>
                </c:pt>
                <c:pt idx="17">
                  <c:v>-323</c:v>
                </c:pt>
                <c:pt idx="18">
                  <c:v>-323</c:v>
                </c:pt>
                <c:pt idx="19">
                  <c:v>-323</c:v>
                </c:pt>
                <c:pt idx="20">
                  <c:v>-323</c:v>
                </c:pt>
                <c:pt idx="21">
                  <c:v>-323</c:v>
                </c:pt>
                <c:pt idx="22">
                  <c:v>-323</c:v>
                </c:pt>
                <c:pt idx="23">
                  <c:v>-323</c:v>
                </c:pt>
                <c:pt idx="24">
                  <c:v>-323</c:v>
                </c:pt>
                <c:pt idx="25">
                  <c:v>-323</c:v>
                </c:pt>
                <c:pt idx="26">
                  <c:v>-323</c:v>
                </c:pt>
                <c:pt idx="27">
                  <c:v>-323</c:v>
                </c:pt>
                <c:pt idx="28">
                  <c:v>-323</c:v>
                </c:pt>
                <c:pt idx="29">
                  <c:v>-323</c:v>
                </c:pt>
                <c:pt idx="30">
                  <c:v>-323</c:v>
                </c:pt>
                <c:pt idx="31">
                  <c:v>-323</c:v>
                </c:pt>
                <c:pt idx="32">
                  <c:v>-323</c:v>
                </c:pt>
                <c:pt idx="33">
                  <c:v>-323</c:v>
                </c:pt>
                <c:pt idx="34">
                  <c:v>-323</c:v>
                </c:pt>
                <c:pt idx="35">
                  <c:v>-323</c:v>
                </c:pt>
                <c:pt idx="36">
                  <c:v>-323</c:v>
                </c:pt>
                <c:pt idx="37">
                  <c:v>-323</c:v>
                </c:pt>
                <c:pt idx="38">
                  <c:v>-323</c:v>
                </c:pt>
                <c:pt idx="39">
                  <c:v>-323</c:v>
                </c:pt>
                <c:pt idx="40">
                  <c:v>-323</c:v>
                </c:pt>
                <c:pt idx="41">
                  <c:v>-323</c:v>
                </c:pt>
                <c:pt idx="42">
                  <c:v>-323</c:v>
                </c:pt>
                <c:pt idx="43">
                  <c:v>-323</c:v>
                </c:pt>
                <c:pt idx="44">
                  <c:v>-323</c:v>
                </c:pt>
                <c:pt idx="45">
                  <c:v>-323</c:v>
                </c:pt>
                <c:pt idx="46">
                  <c:v>-323</c:v>
                </c:pt>
                <c:pt idx="47">
                  <c:v>-323</c:v>
                </c:pt>
                <c:pt idx="48">
                  <c:v>-323</c:v>
                </c:pt>
                <c:pt idx="49">
                  <c:v>-323</c:v>
                </c:pt>
                <c:pt idx="50">
                  <c:v>-323</c:v>
                </c:pt>
                <c:pt idx="51">
                  <c:v>-323</c:v>
                </c:pt>
                <c:pt idx="52">
                  <c:v>-323</c:v>
                </c:pt>
                <c:pt idx="53">
                  <c:v>-323</c:v>
                </c:pt>
                <c:pt idx="54">
                  <c:v>-323</c:v>
                </c:pt>
                <c:pt idx="55">
                  <c:v>-323</c:v>
                </c:pt>
                <c:pt idx="56">
                  <c:v>-323</c:v>
                </c:pt>
                <c:pt idx="57">
                  <c:v>-323</c:v>
                </c:pt>
                <c:pt idx="58">
                  <c:v>-323</c:v>
                </c:pt>
                <c:pt idx="59">
                  <c:v>-323</c:v>
                </c:pt>
                <c:pt idx="60">
                  <c:v>-323</c:v>
                </c:pt>
                <c:pt idx="61">
                  <c:v>-323</c:v>
                </c:pt>
              </c:numCache>
            </c:numRef>
          </c:val>
          <c:smooth val="0"/>
        </c:ser>
        <c:ser>
          <c:idx val="3"/>
          <c:order val="3"/>
          <c:tx>
            <c:v>data</c:v>
          </c:tx>
          <c:spPr>
            <a:ln>
              <a:solidFill>
                <a:schemeClr val="accent1"/>
              </a:solidFill>
            </a:ln>
          </c:spPr>
          <c:marker>
            <c:symbol val="circle"/>
            <c:size val="4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cat>
            <c:multiLvlStrRef>
              <c:f>[0]!G2_XValues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[0]!G2_Data</c:f>
              <c:numCache>
                <c:formatCode>General</c:formatCode>
                <c:ptCount val="62"/>
                <c:pt idx="0">
                  <c:v>-327.92</c:v>
                </c:pt>
                <c:pt idx="1">
                  <c:v>-327.13</c:v>
                </c:pt>
                <c:pt idx="2">
                  <c:v>-327.52</c:v>
                </c:pt>
                <c:pt idx="3">
                  <c:v>-326.60000000000002</c:v>
                </c:pt>
                <c:pt idx="4">
                  <c:v>-327.3</c:v>
                </c:pt>
                <c:pt idx="5">
                  <c:v>-327.5</c:v>
                </c:pt>
                <c:pt idx="6">
                  <c:v>-327</c:v>
                </c:pt>
                <c:pt idx="7">
                  <c:v>-327.9</c:v>
                </c:pt>
                <c:pt idx="8">
                  <c:v>-327.2</c:v>
                </c:pt>
                <c:pt idx="9">
                  <c:v>-327.37</c:v>
                </c:pt>
                <c:pt idx="10">
                  <c:v>-327.39999999999998</c:v>
                </c:pt>
                <c:pt idx="11">
                  <c:v>-327.58999999999997</c:v>
                </c:pt>
                <c:pt idx="12">
                  <c:v>-326.39</c:v>
                </c:pt>
                <c:pt idx="13">
                  <c:v>-327.58</c:v>
                </c:pt>
                <c:pt idx="14">
                  <c:v>-327.93</c:v>
                </c:pt>
                <c:pt idx="15">
                  <c:v>-327.49</c:v>
                </c:pt>
                <c:pt idx="16">
                  <c:v>-328.24</c:v>
                </c:pt>
                <c:pt idx="17">
                  <c:v>-327.44</c:v>
                </c:pt>
                <c:pt idx="18">
                  <c:v>-327.7</c:v>
                </c:pt>
                <c:pt idx="19">
                  <c:v>-327.5</c:v>
                </c:pt>
                <c:pt idx="20">
                  <c:v>-329.2</c:v>
                </c:pt>
                <c:pt idx="21">
                  <c:v>-327.02</c:v>
                </c:pt>
                <c:pt idx="22">
                  <c:v>-328.2</c:v>
                </c:pt>
                <c:pt idx="23">
                  <c:v>-329</c:v>
                </c:pt>
                <c:pt idx="24">
                  <c:v>-328.6</c:v>
                </c:pt>
                <c:pt idx="25">
                  <c:v>-327.23</c:v>
                </c:pt>
                <c:pt idx="26">
                  <c:v>-327.98</c:v>
                </c:pt>
                <c:pt idx="27">
                  <c:v>-327.52999999999997</c:v>
                </c:pt>
                <c:pt idx="28">
                  <c:v>-329.15</c:v>
                </c:pt>
                <c:pt idx="29">
                  <c:v>-328.47</c:v>
                </c:pt>
                <c:pt idx="30">
                  <c:v>-328.21</c:v>
                </c:pt>
                <c:pt idx="31">
                  <c:v>-327.79</c:v>
                </c:pt>
                <c:pt idx="32">
                  <c:v>-328.25</c:v>
                </c:pt>
                <c:pt idx="33">
                  <c:v>-328.45</c:v>
                </c:pt>
                <c:pt idx="34">
                  <c:v>-327</c:v>
                </c:pt>
                <c:pt idx="35">
                  <c:v>-328.52</c:v>
                </c:pt>
                <c:pt idx="36">
                  <c:v>-328.44</c:v>
                </c:pt>
                <c:pt idx="37">
                  <c:v>-326.79000000000002</c:v>
                </c:pt>
                <c:pt idx="38">
                  <c:v>-326.79000000000002</c:v>
                </c:pt>
                <c:pt idx="39">
                  <c:v>-326.85000000000002</c:v>
                </c:pt>
                <c:pt idx="40">
                  <c:v>-327.08</c:v>
                </c:pt>
                <c:pt idx="41">
                  <c:v>-327.17</c:v>
                </c:pt>
                <c:pt idx="42">
                  <c:v>-327.26</c:v>
                </c:pt>
                <c:pt idx="43">
                  <c:v>-327.69</c:v>
                </c:pt>
                <c:pt idx="44">
                  <c:v>-327.57</c:v>
                </c:pt>
                <c:pt idx="45">
                  <c:v>-327.57</c:v>
                </c:pt>
                <c:pt idx="46">
                  <c:v>-327.52</c:v>
                </c:pt>
                <c:pt idx="47">
                  <c:v>-327.01</c:v>
                </c:pt>
                <c:pt idx="48">
                  <c:v>-327.52999999999997</c:v>
                </c:pt>
                <c:pt idx="49">
                  <c:v>-327.56</c:v>
                </c:pt>
                <c:pt idx="50">
                  <c:v>-326.85000000000002</c:v>
                </c:pt>
                <c:pt idx="51">
                  <c:v>-327.99</c:v>
                </c:pt>
                <c:pt idx="52">
                  <c:v>-327.18</c:v>
                </c:pt>
                <c:pt idx="53">
                  <c:v>-328.16</c:v>
                </c:pt>
                <c:pt idx="54">
                  <c:v>-327.71</c:v>
                </c:pt>
                <c:pt idx="55">
                  <c:v>-327.96</c:v>
                </c:pt>
                <c:pt idx="56">
                  <c:v>-328.22</c:v>
                </c:pt>
                <c:pt idx="57">
                  <c:v>-328.45</c:v>
                </c:pt>
                <c:pt idx="58">
                  <c:v>-328.02</c:v>
                </c:pt>
                <c:pt idx="59">
                  <c:v>-328.84</c:v>
                </c:pt>
                <c:pt idx="60">
                  <c:v>-328.19</c:v>
                </c:pt>
                <c:pt idx="61">
                  <c:v>-327.89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100352"/>
        <c:axId val="76102272"/>
      </c:lineChart>
      <c:catAx>
        <c:axId val="76100352"/>
        <c:scaling>
          <c:orientation val="minMax"/>
        </c:scaling>
        <c:delete val="1"/>
        <c:axPos val="b"/>
        <c:majorTickMark val="out"/>
        <c:minorTickMark val="none"/>
        <c:tickLblPos val="nextTo"/>
        <c:crossAx val="76102272"/>
        <c:crosses val="autoZero"/>
        <c:auto val="0"/>
        <c:lblAlgn val="ctr"/>
        <c:lblOffset val="100"/>
        <c:noMultiLvlLbl val="1"/>
      </c:catAx>
      <c:valAx>
        <c:axId val="761022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6100352"/>
        <c:crosses val="autoZero"/>
        <c:crossBetween val="midCat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nominal</c:v>
          </c:tx>
          <c:spPr>
            <a:ln>
              <a:solidFill>
                <a:srgbClr val="92D050"/>
              </a:solidFill>
            </a:ln>
          </c:spPr>
          <c:marker>
            <c:symbol val="none"/>
          </c:marker>
          <c:cat>
            <c:multiLvlStrRef>
              <c:f>[0]!G3_XValues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[0]!G3_Nominal</c:f>
              <c:numCache>
                <c:formatCode>General</c:formatCode>
                <c:ptCount val="62"/>
                <c:pt idx="0">
                  <c:v>990.2</c:v>
                </c:pt>
                <c:pt idx="1">
                  <c:v>990.2</c:v>
                </c:pt>
                <c:pt idx="2">
                  <c:v>990.2</c:v>
                </c:pt>
                <c:pt idx="3">
                  <c:v>990.2</c:v>
                </c:pt>
                <c:pt idx="4">
                  <c:v>990.2</c:v>
                </c:pt>
                <c:pt idx="5">
                  <c:v>990.2</c:v>
                </c:pt>
                <c:pt idx="6">
                  <c:v>990.2</c:v>
                </c:pt>
                <c:pt idx="7">
                  <c:v>990.2</c:v>
                </c:pt>
                <c:pt idx="8">
                  <c:v>990.2</c:v>
                </c:pt>
                <c:pt idx="9">
                  <c:v>990.2</c:v>
                </c:pt>
                <c:pt idx="10">
                  <c:v>990.2</c:v>
                </c:pt>
                <c:pt idx="11">
                  <c:v>990.2</c:v>
                </c:pt>
                <c:pt idx="12">
                  <c:v>990.2</c:v>
                </c:pt>
                <c:pt idx="13">
                  <c:v>990.2</c:v>
                </c:pt>
                <c:pt idx="14">
                  <c:v>990.2</c:v>
                </c:pt>
                <c:pt idx="15">
                  <c:v>990.2</c:v>
                </c:pt>
                <c:pt idx="16">
                  <c:v>990.2</c:v>
                </c:pt>
                <c:pt idx="17">
                  <c:v>990.2</c:v>
                </c:pt>
                <c:pt idx="18">
                  <c:v>990.2</c:v>
                </c:pt>
                <c:pt idx="19">
                  <c:v>990.2</c:v>
                </c:pt>
                <c:pt idx="20">
                  <c:v>990.2</c:v>
                </c:pt>
                <c:pt idx="21">
                  <c:v>990.2</c:v>
                </c:pt>
                <c:pt idx="22">
                  <c:v>990.2</c:v>
                </c:pt>
                <c:pt idx="23">
                  <c:v>990.2</c:v>
                </c:pt>
                <c:pt idx="24">
                  <c:v>990.2</c:v>
                </c:pt>
                <c:pt idx="25">
                  <c:v>990.2</c:v>
                </c:pt>
                <c:pt idx="26">
                  <c:v>990.2</c:v>
                </c:pt>
                <c:pt idx="27">
                  <c:v>990.2</c:v>
                </c:pt>
                <c:pt idx="28">
                  <c:v>990.2</c:v>
                </c:pt>
                <c:pt idx="29">
                  <c:v>990.2</c:v>
                </c:pt>
                <c:pt idx="30">
                  <c:v>990.2</c:v>
                </c:pt>
                <c:pt idx="31">
                  <c:v>990.2</c:v>
                </c:pt>
                <c:pt idx="32">
                  <c:v>990.2</c:v>
                </c:pt>
                <c:pt idx="33">
                  <c:v>990.2</c:v>
                </c:pt>
                <c:pt idx="34">
                  <c:v>990.2</c:v>
                </c:pt>
                <c:pt idx="35">
                  <c:v>990.2</c:v>
                </c:pt>
                <c:pt idx="36">
                  <c:v>990.2</c:v>
                </c:pt>
                <c:pt idx="37">
                  <c:v>990.2</c:v>
                </c:pt>
                <c:pt idx="38">
                  <c:v>990.2</c:v>
                </c:pt>
                <c:pt idx="39">
                  <c:v>990.2</c:v>
                </c:pt>
                <c:pt idx="40">
                  <c:v>990.2</c:v>
                </c:pt>
                <c:pt idx="41">
                  <c:v>990.2</c:v>
                </c:pt>
                <c:pt idx="42">
                  <c:v>990.2</c:v>
                </c:pt>
                <c:pt idx="43">
                  <c:v>990.2</c:v>
                </c:pt>
                <c:pt idx="44">
                  <c:v>990.2</c:v>
                </c:pt>
                <c:pt idx="45">
                  <c:v>990.2</c:v>
                </c:pt>
                <c:pt idx="46">
                  <c:v>990.2</c:v>
                </c:pt>
                <c:pt idx="47">
                  <c:v>990.2</c:v>
                </c:pt>
                <c:pt idx="48">
                  <c:v>990.2</c:v>
                </c:pt>
                <c:pt idx="49">
                  <c:v>990.2</c:v>
                </c:pt>
                <c:pt idx="50">
                  <c:v>990.2</c:v>
                </c:pt>
                <c:pt idx="51">
                  <c:v>990.2</c:v>
                </c:pt>
                <c:pt idx="52">
                  <c:v>990.2</c:v>
                </c:pt>
                <c:pt idx="53">
                  <c:v>990.2</c:v>
                </c:pt>
                <c:pt idx="54">
                  <c:v>990.2</c:v>
                </c:pt>
                <c:pt idx="55">
                  <c:v>990.2</c:v>
                </c:pt>
                <c:pt idx="56">
                  <c:v>990.2</c:v>
                </c:pt>
                <c:pt idx="57">
                  <c:v>990.2</c:v>
                </c:pt>
                <c:pt idx="58">
                  <c:v>990.2</c:v>
                </c:pt>
                <c:pt idx="59">
                  <c:v>990.2</c:v>
                </c:pt>
                <c:pt idx="60">
                  <c:v>990.2</c:v>
                </c:pt>
                <c:pt idx="61">
                  <c:v>990.2</c:v>
                </c:pt>
              </c:numCache>
            </c:numRef>
          </c:val>
          <c:smooth val="0"/>
        </c:ser>
        <c:ser>
          <c:idx val="1"/>
          <c:order val="1"/>
          <c:tx>
            <c:v>lie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[0]!G3_XValues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[0]!G3_Lie</c:f>
              <c:numCache>
                <c:formatCode>General</c:formatCode>
                <c:ptCount val="62"/>
                <c:pt idx="0">
                  <c:v>987.2</c:v>
                </c:pt>
                <c:pt idx="1">
                  <c:v>987.2</c:v>
                </c:pt>
                <c:pt idx="2">
                  <c:v>987.2</c:v>
                </c:pt>
                <c:pt idx="3">
                  <c:v>987.2</c:v>
                </c:pt>
                <c:pt idx="4">
                  <c:v>987.2</c:v>
                </c:pt>
                <c:pt idx="5">
                  <c:v>987.2</c:v>
                </c:pt>
                <c:pt idx="6">
                  <c:v>987.2</c:v>
                </c:pt>
                <c:pt idx="7">
                  <c:v>987.2</c:v>
                </c:pt>
                <c:pt idx="8">
                  <c:v>987.2</c:v>
                </c:pt>
                <c:pt idx="9">
                  <c:v>987.2</c:v>
                </c:pt>
                <c:pt idx="10">
                  <c:v>987.2</c:v>
                </c:pt>
                <c:pt idx="11">
                  <c:v>987.2</c:v>
                </c:pt>
                <c:pt idx="12">
                  <c:v>987.2</c:v>
                </c:pt>
                <c:pt idx="13">
                  <c:v>987.2</c:v>
                </c:pt>
                <c:pt idx="14">
                  <c:v>987.2</c:v>
                </c:pt>
                <c:pt idx="15">
                  <c:v>987.2</c:v>
                </c:pt>
                <c:pt idx="16">
                  <c:v>987.2</c:v>
                </c:pt>
                <c:pt idx="17">
                  <c:v>987.2</c:v>
                </c:pt>
                <c:pt idx="18">
                  <c:v>987.2</c:v>
                </c:pt>
                <c:pt idx="19">
                  <c:v>987.2</c:v>
                </c:pt>
                <c:pt idx="20">
                  <c:v>987.2</c:v>
                </c:pt>
                <c:pt idx="21">
                  <c:v>987.2</c:v>
                </c:pt>
                <c:pt idx="22">
                  <c:v>987.2</c:v>
                </c:pt>
                <c:pt idx="23">
                  <c:v>987.2</c:v>
                </c:pt>
                <c:pt idx="24">
                  <c:v>987.2</c:v>
                </c:pt>
                <c:pt idx="25">
                  <c:v>987.2</c:v>
                </c:pt>
                <c:pt idx="26">
                  <c:v>987.2</c:v>
                </c:pt>
                <c:pt idx="27">
                  <c:v>987.2</c:v>
                </c:pt>
                <c:pt idx="28">
                  <c:v>987.2</c:v>
                </c:pt>
                <c:pt idx="29">
                  <c:v>987.2</c:v>
                </c:pt>
                <c:pt idx="30">
                  <c:v>987.2</c:v>
                </c:pt>
                <c:pt idx="31">
                  <c:v>987.2</c:v>
                </c:pt>
                <c:pt idx="32">
                  <c:v>987.2</c:v>
                </c:pt>
                <c:pt idx="33">
                  <c:v>987.2</c:v>
                </c:pt>
                <c:pt idx="34">
                  <c:v>987.2</c:v>
                </c:pt>
                <c:pt idx="35">
                  <c:v>987.2</c:v>
                </c:pt>
                <c:pt idx="36">
                  <c:v>987.2</c:v>
                </c:pt>
                <c:pt idx="37">
                  <c:v>987.2</c:v>
                </c:pt>
                <c:pt idx="38">
                  <c:v>987.2</c:v>
                </c:pt>
                <c:pt idx="39">
                  <c:v>987.2</c:v>
                </c:pt>
                <c:pt idx="40">
                  <c:v>987.2</c:v>
                </c:pt>
                <c:pt idx="41">
                  <c:v>987.2</c:v>
                </c:pt>
                <c:pt idx="42">
                  <c:v>987.2</c:v>
                </c:pt>
                <c:pt idx="43">
                  <c:v>987.2</c:v>
                </c:pt>
                <c:pt idx="44">
                  <c:v>987.2</c:v>
                </c:pt>
                <c:pt idx="45">
                  <c:v>987.2</c:v>
                </c:pt>
                <c:pt idx="46">
                  <c:v>987.2</c:v>
                </c:pt>
                <c:pt idx="47">
                  <c:v>987.2</c:v>
                </c:pt>
                <c:pt idx="48">
                  <c:v>987.2</c:v>
                </c:pt>
                <c:pt idx="49">
                  <c:v>987.2</c:v>
                </c:pt>
                <c:pt idx="50">
                  <c:v>987.2</c:v>
                </c:pt>
                <c:pt idx="51">
                  <c:v>987.2</c:v>
                </c:pt>
                <c:pt idx="52">
                  <c:v>987.2</c:v>
                </c:pt>
                <c:pt idx="53">
                  <c:v>987.2</c:v>
                </c:pt>
                <c:pt idx="54">
                  <c:v>987.2</c:v>
                </c:pt>
                <c:pt idx="55">
                  <c:v>987.2</c:v>
                </c:pt>
                <c:pt idx="56">
                  <c:v>987.2</c:v>
                </c:pt>
                <c:pt idx="57">
                  <c:v>987.2</c:v>
                </c:pt>
                <c:pt idx="58">
                  <c:v>987.2</c:v>
                </c:pt>
                <c:pt idx="59">
                  <c:v>987.2</c:v>
                </c:pt>
                <c:pt idx="60">
                  <c:v>987.2</c:v>
                </c:pt>
                <c:pt idx="61">
                  <c:v>987.2</c:v>
                </c:pt>
              </c:numCache>
            </c:numRef>
          </c:val>
          <c:smooth val="0"/>
        </c:ser>
        <c:ser>
          <c:idx val="2"/>
          <c:order val="2"/>
          <c:tx>
            <c:v>lse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[0]!G3_XValues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[0]!G3_Lse</c:f>
              <c:numCache>
                <c:formatCode>General</c:formatCode>
                <c:ptCount val="62"/>
                <c:pt idx="0">
                  <c:v>993.2</c:v>
                </c:pt>
                <c:pt idx="1">
                  <c:v>993.2</c:v>
                </c:pt>
                <c:pt idx="2">
                  <c:v>993.2</c:v>
                </c:pt>
                <c:pt idx="3">
                  <c:v>993.2</c:v>
                </c:pt>
                <c:pt idx="4">
                  <c:v>993.2</c:v>
                </c:pt>
                <c:pt idx="5">
                  <c:v>993.2</c:v>
                </c:pt>
                <c:pt idx="6">
                  <c:v>993.2</c:v>
                </c:pt>
                <c:pt idx="7">
                  <c:v>993.2</c:v>
                </c:pt>
                <c:pt idx="8">
                  <c:v>993.2</c:v>
                </c:pt>
                <c:pt idx="9">
                  <c:v>993.2</c:v>
                </c:pt>
                <c:pt idx="10">
                  <c:v>993.2</c:v>
                </c:pt>
                <c:pt idx="11">
                  <c:v>993.2</c:v>
                </c:pt>
                <c:pt idx="12">
                  <c:v>993.2</c:v>
                </c:pt>
                <c:pt idx="13">
                  <c:v>993.2</c:v>
                </c:pt>
                <c:pt idx="14">
                  <c:v>993.2</c:v>
                </c:pt>
                <c:pt idx="15">
                  <c:v>993.2</c:v>
                </c:pt>
                <c:pt idx="16">
                  <c:v>993.2</c:v>
                </c:pt>
                <c:pt idx="17">
                  <c:v>993.2</c:v>
                </c:pt>
                <c:pt idx="18">
                  <c:v>993.2</c:v>
                </c:pt>
                <c:pt idx="19">
                  <c:v>993.2</c:v>
                </c:pt>
                <c:pt idx="20">
                  <c:v>993.2</c:v>
                </c:pt>
                <c:pt idx="21">
                  <c:v>993.2</c:v>
                </c:pt>
                <c:pt idx="22">
                  <c:v>993.2</c:v>
                </c:pt>
                <c:pt idx="23">
                  <c:v>993.2</c:v>
                </c:pt>
                <c:pt idx="24">
                  <c:v>993.2</c:v>
                </c:pt>
                <c:pt idx="25">
                  <c:v>993.2</c:v>
                </c:pt>
                <c:pt idx="26">
                  <c:v>993.2</c:v>
                </c:pt>
                <c:pt idx="27">
                  <c:v>993.2</c:v>
                </c:pt>
                <c:pt idx="28">
                  <c:v>993.2</c:v>
                </c:pt>
                <c:pt idx="29">
                  <c:v>993.2</c:v>
                </c:pt>
                <c:pt idx="30">
                  <c:v>993.2</c:v>
                </c:pt>
                <c:pt idx="31">
                  <c:v>993.2</c:v>
                </c:pt>
                <c:pt idx="32">
                  <c:v>993.2</c:v>
                </c:pt>
                <c:pt idx="33">
                  <c:v>993.2</c:v>
                </c:pt>
                <c:pt idx="34">
                  <c:v>993.2</c:v>
                </c:pt>
                <c:pt idx="35">
                  <c:v>993.2</c:v>
                </c:pt>
                <c:pt idx="36">
                  <c:v>993.2</c:v>
                </c:pt>
                <c:pt idx="37">
                  <c:v>993.2</c:v>
                </c:pt>
                <c:pt idx="38">
                  <c:v>993.2</c:v>
                </c:pt>
                <c:pt idx="39">
                  <c:v>993.2</c:v>
                </c:pt>
                <c:pt idx="40">
                  <c:v>993.2</c:v>
                </c:pt>
                <c:pt idx="41">
                  <c:v>993.2</c:v>
                </c:pt>
                <c:pt idx="42">
                  <c:v>993.2</c:v>
                </c:pt>
                <c:pt idx="43">
                  <c:v>993.2</c:v>
                </c:pt>
                <c:pt idx="44">
                  <c:v>993.2</c:v>
                </c:pt>
                <c:pt idx="45">
                  <c:v>993.2</c:v>
                </c:pt>
                <c:pt idx="46">
                  <c:v>993.2</c:v>
                </c:pt>
                <c:pt idx="47">
                  <c:v>993.2</c:v>
                </c:pt>
                <c:pt idx="48">
                  <c:v>993.2</c:v>
                </c:pt>
                <c:pt idx="49">
                  <c:v>993.2</c:v>
                </c:pt>
                <c:pt idx="50">
                  <c:v>993.2</c:v>
                </c:pt>
                <c:pt idx="51">
                  <c:v>993.2</c:v>
                </c:pt>
                <c:pt idx="52">
                  <c:v>993.2</c:v>
                </c:pt>
                <c:pt idx="53">
                  <c:v>993.2</c:v>
                </c:pt>
                <c:pt idx="54">
                  <c:v>993.2</c:v>
                </c:pt>
                <c:pt idx="55">
                  <c:v>993.2</c:v>
                </c:pt>
                <c:pt idx="56">
                  <c:v>993.2</c:v>
                </c:pt>
                <c:pt idx="57">
                  <c:v>993.2</c:v>
                </c:pt>
                <c:pt idx="58">
                  <c:v>993.2</c:v>
                </c:pt>
                <c:pt idx="59">
                  <c:v>993.2</c:v>
                </c:pt>
                <c:pt idx="60">
                  <c:v>993.2</c:v>
                </c:pt>
                <c:pt idx="61">
                  <c:v>993.2</c:v>
                </c:pt>
              </c:numCache>
            </c:numRef>
          </c:val>
          <c:smooth val="0"/>
        </c:ser>
        <c:ser>
          <c:idx val="3"/>
          <c:order val="3"/>
          <c:tx>
            <c:v>data</c:v>
          </c:tx>
          <c:spPr>
            <a:ln>
              <a:solidFill>
                <a:schemeClr val="accent1"/>
              </a:solidFill>
            </a:ln>
          </c:spPr>
          <c:marker>
            <c:symbol val="circle"/>
            <c:size val="4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cat>
            <c:multiLvlStrRef>
              <c:f>[0]!G3_XValues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[0]!G3_Data</c:f>
              <c:numCache>
                <c:formatCode>General</c:formatCode>
                <c:ptCount val="62"/>
                <c:pt idx="0">
                  <c:v>989.14</c:v>
                </c:pt>
                <c:pt idx="1">
                  <c:v>989.95</c:v>
                </c:pt>
                <c:pt idx="2">
                  <c:v>989.61</c:v>
                </c:pt>
                <c:pt idx="3">
                  <c:v>990</c:v>
                </c:pt>
                <c:pt idx="4">
                  <c:v>989.8</c:v>
                </c:pt>
                <c:pt idx="5">
                  <c:v>990.3</c:v>
                </c:pt>
                <c:pt idx="6">
                  <c:v>990.2</c:v>
                </c:pt>
                <c:pt idx="7">
                  <c:v>989.8</c:v>
                </c:pt>
                <c:pt idx="8">
                  <c:v>989.9</c:v>
                </c:pt>
                <c:pt idx="9">
                  <c:v>989.98</c:v>
                </c:pt>
                <c:pt idx="10">
                  <c:v>989.87</c:v>
                </c:pt>
                <c:pt idx="11">
                  <c:v>989.86</c:v>
                </c:pt>
                <c:pt idx="12">
                  <c:v>990.49</c:v>
                </c:pt>
                <c:pt idx="13">
                  <c:v>989.97</c:v>
                </c:pt>
                <c:pt idx="14">
                  <c:v>989.71</c:v>
                </c:pt>
                <c:pt idx="15">
                  <c:v>989.97</c:v>
                </c:pt>
                <c:pt idx="16">
                  <c:v>989.18</c:v>
                </c:pt>
                <c:pt idx="17">
                  <c:v>989.75</c:v>
                </c:pt>
                <c:pt idx="18">
                  <c:v>989.8</c:v>
                </c:pt>
                <c:pt idx="19">
                  <c:v>989.9</c:v>
                </c:pt>
                <c:pt idx="20">
                  <c:v>989.4</c:v>
                </c:pt>
                <c:pt idx="21">
                  <c:v>990</c:v>
                </c:pt>
                <c:pt idx="22">
                  <c:v>989.6</c:v>
                </c:pt>
                <c:pt idx="23">
                  <c:v>989.8</c:v>
                </c:pt>
                <c:pt idx="24">
                  <c:v>990.4</c:v>
                </c:pt>
                <c:pt idx="25">
                  <c:v>989.97</c:v>
                </c:pt>
                <c:pt idx="26">
                  <c:v>990.28</c:v>
                </c:pt>
                <c:pt idx="27">
                  <c:v>989.57</c:v>
                </c:pt>
                <c:pt idx="28">
                  <c:v>989.34</c:v>
                </c:pt>
                <c:pt idx="29">
                  <c:v>989.67</c:v>
                </c:pt>
                <c:pt idx="30">
                  <c:v>990</c:v>
                </c:pt>
                <c:pt idx="31">
                  <c:v>989.66</c:v>
                </c:pt>
                <c:pt idx="32">
                  <c:v>989.47</c:v>
                </c:pt>
                <c:pt idx="33">
                  <c:v>989.51</c:v>
                </c:pt>
                <c:pt idx="34">
                  <c:v>990.2</c:v>
                </c:pt>
                <c:pt idx="35">
                  <c:v>989.12</c:v>
                </c:pt>
                <c:pt idx="36">
                  <c:v>989.85</c:v>
                </c:pt>
                <c:pt idx="37">
                  <c:v>990.24</c:v>
                </c:pt>
                <c:pt idx="38">
                  <c:v>989.87</c:v>
                </c:pt>
                <c:pt idx="39">
                  <c:v>989.55</c:v>
                </c:pt>
                <c:pt idx="40">
                  <c:v>989.99</c:v>
                </c:pt>
                <c:pt idx="41">
                  <c:v>989.72</c:v>
                </c:pt>
                <c:pt idx="42">
                  <c:v>990.13</c:v>
                </c:pt>
                <c:pt idx="43">
                  <c:v>989.8</c:v>
                </c:pt>
                <c:pt idx="44">
                  <c:v>989.57</c:v>
                </c:pt>
                <c:pt idx="45">
                  <c:v>989.9</c:v>
                </c:pt>
                <c:pt idx="46">
                  <c:v>989.7</c:v>
                </c:pt>
                <c:pt idx="47">
                  <c:v>990.12</c:v>
                </c:pt>
                <c:pt idx="48">
                  <c:v>989.59</c:v>
                </c:pt>
                <c:pt idx="49">
                  <c:v>989.53</c:v>
                </c:pt>
                <c:pt idx="50">
                  <c:v>990.6</c:v>
                </c:pt>
                <c:pt idx="51">
                  <c:v>989.3</c:v>
                </c:pt>
                <c:pt idx="52">
                  <c:v>990.23</c:v>
                </c:pt>
                <c:pt idx="53">
                  <c:v>989.59</c:v>
                </c:pt>
                <c:pt idx="54">
                  <c:v>989.37</c:v>
                </c:pt>
                <c:pt idx="55">
                  <c:v>989.41</c:v>
                </c:pt>
                <c:pt idx="56">
                  <c:v>989.71</c:v>
                </c:pt>
                <c:pt idx="57">
                  <c:v>989.51</c:v>
                </c:pt>
                <c:pt idx="58">
                  <c:v>989.26</c:v>
                </c:pt>
                <c:pt idx="59">
                  <c:v>989.33</c:v>
                </c:pt>
                <c:pt idx="60">
                  <c:v>989.03</c:v>
                </c:pt>
                <c:pt idx="61">
                  <c:v>989.09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213696"/>
        <c:axId val="77215616"/>
      </c:lineChart>
      <c:catAx>
        <c:axId val="77213696"/>
        <c:scaling>
          <c:orientation val="minMax"/>
        </c:scaling>
        <c:delete val="1"/>
        <c:axPos val="b"/>
        <c:majorTickMark val="out"/>
        <c:minorTickMark val="none"/>
        <c:tickLblPos val="nextTo"/>
        <c:crossAx val="77215616"/>
        <c:crosses val="autoZero"/>
        <c:auto val="0"/>
        <c:lblAlgn val="ctr"/>
        <c:lblOffset val="100"/>
        <c:noMultiLvlLbl val="1"/>
      </c:catAx>
      <c:valAx>
        <c:axId val="772156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7213696"/>
        <c:crosses val="autoZero"/>
        <c:crossBetween val="midCat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nominal</c:v>
          </c:tx>
          <c:spPr>
            <a:ln>
              <a:solidFill>
                <a:srgbClr val="92D050"/>
              </a:solidFill>
            </a:ln>
          </c:spPr>
          <c:marker>
            <c:symbol val="none"/>
          </c:marker>
          <c:cat>
            <c:multiLvlStrRef>
              <c:f>[0]!G4_XValues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[0]!G4_Nominal</c:f>
              <c:numCache>
                <c:formatCode>General</c:formatCode>
                <c:ptCount val="62"/>
                <c:pt idx="0">
                  <c:v>226.2</c:v>
                </c:pt>
                <c:pt idx="1">
                  <c:v>226.2</c:v>
                </c:pt>
                <c:pt idx="2">
                  <c:v>226.2</c:v>
                </c:pt>
                <c:pt idx="3">
                  <c:v>226.2</c:v>
                </c:pt>
                <c:pt idx="4">
                  <c:v>226.2</c:v>
                </c:pt>
                <c:pt idx="5">
                  <c:v>226.2</c:v>
                </c:pt>
                <c:pt idx="6">
                  <c:v>226.2</c:v>
                </c:pt>
                <c:pt idx="7">
                  <c:v>226.2</c:v>
                </c:pt>
                <c:pt idx="8">
                  <c:v>226.2</c:v>
                </c:pt>
                <c:pt idx="9">
                  <c:v>226.2</c:v>
                </c:pt>
                <c:pt idx="10">
                  <c:v>226.2</c:v>
                </c:pt>
                <c:pt idx="11">
                  <c:v>226.2</c:v>
                </c:pt>
                <c:pt idx="12">
                  <c:v>226.2</c:v>
                </c:pt>
                <c:pt idx="13">
                  <c:v>226.2</c:v>
                </c:pt>
                <c:pt idx="14">
                  <c:v>226.2</c:v>
                </c:pt>
                <c:pt idx="15">
                  <c:v>226.2</c:v>
                </c:pt>
                <c:pt idx="16">
                  <c:v>226.2</c:v>
                </c:pt>
                <c:pt idx="17">
                  <c:v>226.2</c:v>
                </c:pt>
                <c:pt idx="18">
                  <c:v>226.2</c:v>
                </c:pt>
                <c:pt idx="19">
                  <c:v>226.2</c:v>
                </c:pt>
                <c:pt idx="20">
                  <c:v>226.2</c:v>
                </c:pt>
                <c:pt idx="21">
                  <c:v>226.2</c:v>
                </c:pt>
                <c:pt idx="22">
                  <c:v>226.2</c:v>
                </c:pt>
                <c:pt idx="23">
                  <c:v>226.2</c:v>
                </c:pt>
                <c:pt idx="24">
                  <c:v>226.2</c:v>
                </c:pt>
                <c:pt idx="25">
                  <c:v>226.2</c:v>
                </c:pt>
                <c:pt idx="26">
                  <c:v>226.2</c:v>
                </c:pt>
                <c:pt idx="27">
                  <c:v>226.2</c:v>
                </c:pt>
                <c:pt idx="28">
                  <c:v>226.2</c:v>
                </c:pt>
                <c:pt idx="29">
                  <c:v>226.2</c:v>
                </c:pt>
                <c:pt idx="30">
                  <c:v>226.2</c:v>
                </c:pt>
                <c:pt idx="31">
                  <c:v>226.2</c:v>
                </c:pt>
                <c:pt idx="32">
                  <c:v>226.2</c:v>
                </c:pt>
                <c:pt idx="33">
                  <c:v>226.2</c:v>
                </c:pt>
                <c:pt idx="34">
                  <c:v>226.2</c:v>
                </c:pt>
                <c:pt idx="35">
                  <c:v>226.2</c:v>
                </c:pt>
                <c:pt idx="36">
                  <c:v>226.2</c:v>
                </c:pt>
                <c:pt idx="37">
                  <c:v>226.2</c:v>
                </c:pt>
                <c:pt idx="38">
                  <c:v>226.2</c:v>
                </c:pt>
                <c:pt idx="39">
                  <c:v>226.2</c:v>
                </c:pt>
                <c:pt idx="40">
                  <c:v>226.2</c:v>
                </c:pt>
                <c:pt idx="41">
                  <c:v>226.2</c:v>
                </c:pt>
                <c:pt idx="42">
                  <c:v>226.2</c:v>
                </c:pt>
                <c:pt idx="43">
                  <c:v>226.2</c:v>
                </c:pt>
                <c:pt idx="44">
                  <c:v>226.2</c:v>
                </c:pt>
                <c:pt idx="45">
                  <c:v>226.2</c:v>
                </c:pt>
                <c:pt idx="46">
                  <c:v>226.2</c:v>
                </c:pt>
                <c:pt idx="47">
                  <c:v>226.2</c:v>
                </c:pt>
                <c:pt idx="48">
                  <c:v>226.2</c:v>
                </c:pt>
                <c:pt idx="49">
                  <c:v>226.2</c:v>
                </c:pt>
                <c:pt idx="50">
                  <c:v>226.2</c:v>
                </c:pt>
                <c:pt idx="51">
                  <c:v>226.2</c:v>
                </c:pt>
                <c:pt idx="52">
                  <c:v>226.2</c:v>
                </c:pt>
                <c:pt idx="53">
                  <c:v>226.2</c:v>
                </c:pt>
                <c:pt idx="54">
                  <c:v>226.2</c:v>
                </c:pt>
                <c:pt idx="55">
                  <c:v>226.2</c:v>
                </c:pt>
                <c:pt idx="56">
                  <c:v>226.2</c:v>
                </c:pt>
                <c:pt idx="57">
                  <c:v>226.2</c:v>
                </c:pt>
                <c:pt idx="58">
                  <c:v>226.2</c:v>
                </c:pt>
                <c:pt idx="59">
                  <c:v>226.2</c:v>
                </c:pt>
                <c:pt idx="60">
                  <c:v>226.2</c:v>
                </c:pt>
                <c:pt idx="61">
                  <c:v>226.2</c:v>
                </c:pt>
              </c:numCache>
            </c:numRef>
          </c:val>
          <c:smooth val="0"/>
        </c:ser>
        <c:ser>
          <c:idx val="1"/>
          <c:order val="1"/>
          <c:tx>
            <c:v>lie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[0]!G4_XValues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[0]!G4_Lie</c:f>
              <c:numCache>
                <c:formatCode>General</c:formatCode>
                <c:ptCount val="62"/>
                <c:pt idx="0">
                  <c:v>223.2</c:v>
                </c:pt>
                <c:pt idx="1">
                  <c:v>223.2</c:v>
                </c:pt>
                <c:pt idx="2">
                  <c:v>223.2</c:v>
                </c:pt>
                <c:pt idx="3">
                  <c:v>223.2</c:v>
                </c:pt>
                <c:pt idx="4">
                  <c:v>223.2</c:v>
                </c:pt>
                <c:pt idx="5">
                  <c:v>223.2</c:v>
                </c:pt>
                <c:pt idx="6">
                  <c:v>223.2</c:v>
                </c:pt>
                <c:pt idx="7">
                  <c:v>223.2</c:v>
                </c:pt>
                <c:pt idx="8">
                  <c:v>223.2</c:v>
                </c:pt>
                <c:pt idx="9">
                  <c:v>223.2</c:v>
                </c:pt>
                <c:pt idx="10">
                  <c:v>223.2</c:v>
                </c:pt>
                <c:pt idx="11">
                  <c:v>223.2</c:v>
                </c:pt>
                <c:pt idx="12">
                  <c:v>223.2</c:v>
                </c:pt>
                <c:pt idx="13">
                  <c:v>223.2</c:v>
                </c:pt>
                <c:pt idx="14">
                  <c:v>223.2</c:v>
                </c:pt>
                <c:pt idx="15">
                  <c:v>223.2</c:v>
                </c:pt>
                <c:pt idx="16">
                  <c:v>223.2</c:v>
                </c:pt>
                <c:pt idx="17">
                  <c:v>223.2</c:v>
                </c:pt>
                <c:pt idx="18">
                  <c:v>223.2</c:v>
                </c:pt>
                <c:pt idx="19">
                  <c:v>223.2</c:v>
                </c:pt>
                <c:pt idx="20">
                  <c:v>223.2</c:v>
                </c:pt>
                <c:pt idx="21">
                  <c:v>223.2</c:v>
                </c:pt>
                <c:pt idx="22">
                  <c:v>223.2</c:v>
                </c:pt>
                <c:pt idx="23">
                  <c:v>223.2</c:v>
                </c:pt>
                <c:pt idx="24">
                  <c:v>223.2</c:v>
                </c:pt>
                <c:pt idx="25">
                  <c:v>223.2</c:v>
                </c:pt>
                <c:pt idx="26">
                  <c:v>223.2</c:v>
                </c:pt>
                <c:pt idx="27">
                  <c:v>223.2</c:v>
                </c:pt>
                <c:pt idx="28">
                  <c:v>223.2</c:v>
                </c:pt>
                <c:pt idx="29">
                  <c:v>223.2</c:v>
                </c:pt>
                <c:pt idx="30">
                  <c:v>223.2</c:v>
                </c:pt>
                <c:pt idx="31">
                  <c:v>223.2</c:v>
                </c:pt>
                <c:pt idx="32">
                  <c:v>223.2</c:v>
                </c:pt>
                <c:pt idx="33">
                  <c:v>223.2</c:v>
                </c:pt>
                <c:pt idx="34">
                  <c:v>223.2</c:v>
                </c:pt>
                <c:pt idx="35">
                  <c:v>223.2</c:v>
                </c:pt>
                <c:pt idx="36">
                  <c:v>223.2</c:v>
                </c:pt>
                <c:pt idx="37">
                  <c:v>223.2</c:v>
                </c:pt>
                <c:pt idx="38">
                  <c:v>223.2</c:v>
                </c:pt>
                <c:pt idx="39">
                  <c:v>223.2</c:v>
                </c:pt>
                <c:pt idx="40">
                  <c:v>223.2</c:v>
                </c:pt>
                <c:pt idx="41">
                  <c:v>223.2</c:v>
                </c:pt>
                <c:pt idx="42">
                  <c:v>223.2</c:v>
                </c:pt>
                <c:pt idx="43">
                  <c:v>223.2</c:v>
                </c:pt>
                <c:pt idx="44">
                  <c:v>223.2</c:v>
                </c:pt>
                <c:pt idx="45">
                  <c:v>223.2</c:v>
                </c:pt>
                <c:pt idx="46">
                  <c:v>223.2</c:v>
                </c:pt>
                <c:pt idx="47">
                  <c:v>223.2</c:v>
                </c:pt>
                <c:pt idx="48">
                  <c:v>223.2</c:v>
                </c:pt>
                <c:pt idx="49">
                  <c:v>223.2</c:v>
                </c:pt>
                <c:pt idx="50">
                  <c:v>223.2</c:v>
                </c:pt>
                <c:pt idx="51">
                  <c:v>223.2</c:v>
                </c:pt>
                <c:pt idx="52">
                  <c:v>223.2</c:v>
                </c:pt>
                <c:pt idx="53">
                  <c:v>223.2</c:v>
                </c:pt>
                <c:pt idx="54">
                  <c:v>223.2</c:v>
                </c:pt>
                <c:pt idx="55">
                  <c:v>223.2</c:v>
                </c:pt>
                <c:pt idx="56">
                  <c:v>223.2</c:v>
                </c:pt>
                <c:pt idx="57">
                  <c:v>223.2</c:v>
                </c:pt>
                <c:pt idx="58">
                  <c:v>223.2</c:v>
                </c:pt>
                <c:pt idx="59">
                  <c:v>223.2</c:v>
                </c:pt>
                <c:pt idx="60">
                  <c:v>223.2</c:v>
                </c:pt>
                <c:pt idx="61">
                  <c:v>223.2</c:v>
                </c:pt>
              </c:numCache>
            </c:numRef>
          </c:val>
          <c:smooth val="0"/>
        </c:ser>
        <c:ser>
          <c:idx val="2"/>
          <c:order val="2"/>
          <c:tx>
            <c:v>lse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[0]!G4_XValues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[0]!G4_Lse</c:f>
              <c:numCache>
                <c:formatCode>General</c:formatCode>
                <c:ptCount val="62"/>
                <c:pt idx="0">
                  <c:v>229.2</c:v>
                </c:pt>
                <c:pt idx="1">
                  <c:v>229.2</c:v>
                </c:pt>
                <c:pt idx="2">
                  <c:v>229.2</c:v>
                </c:pt>
                <c:pt idx="3">
                  <c:v>229.2</c:v>
                </c:pt>
                <c:pt idx="4">
                  <c:v>229.2</c:v>
                </c:pt>
                <c:pt idx="5">
                  <c:v>229.2</c:v>
                </c:pt>
                <c:pt idx="6">
                  <c:v>229.2</c:v>
                </c:pt>
                <c:pt idx="7">
                  <c:v>229.2</c:v>
                </c:pt>
                <c:pt idx="8">
                  <c:v>229.2</c:v>
                </c:pt>
                <c:pt idx="9">
                  <c:v>229.2</c:v>
                </c:pt>
                <c:pt idx="10">
                  <c:v>229.2</c:v>
                </c:pt>
                <c:pt idx="11">
                  <c:v>229.2</c:v>
                </c:pt>
                <c:pt idx="12">
                  <c:v>229.2</c:v>
                </c:pt>
                <c:pt idx="13">
                  <c:v>229.2</c:v>
                </c:pt>
                <c:pt idx="14">
                  <c:v>229.2</c:v>
                </c:pt>
                <c:pt idx="15">
                  <c:v>229.2</c:v>
                </c:pt>
                <c:pt idx="16">
                  <c:v>229.2</c:v>
                </c:pt>
                <c:pt idx="17">
                  <c:v>229.2</c:v>
                </c:pt>
                <c:pt idx="18">
                  <c:v>229.2</c:v>
                </c:pt>
                <c:pt idx="19">
                  <c:v>229.2</c:v>
                </c:pt>
                <c:pt idx="20">
                  <c:v>229.2</c:v>
                </c:pt>
                <c:pt idx="21">
                  <c:v>229.2</c:v>
                </c:pt>
                <c:pt idx="22">
                  <c:v>229.2</c:v>
                </c:pt>
                <c:pt idx="23">
                  <c:v>229.2</c:v>
                </c:pt>
                <c:pt idx="24">
                  <c:v>229.2</c:v>
                </c:pt>
                <c:pt idx="25">
                  <c:v>229.2</c:v>
                </c:pt>
                <c:pt idx="26">
                  <c:v>229.2</c:v>
                </c:pt>
                <c:pt idx="27">
                  <c:v>229.2</c:v>
                </c:pt>
                <c:pt idx="28">
                  <c:v>229.2</c:v>
                </c:pt>
                <c:pt idx="29">
                  <c:v>229.2</c:v>
                </c:pt>
                <c:pt idx="30">
                  <c:v>229.2</c:v>
                </c:pt>
                <c:pt idx="31">
                  <c:v>229.2</c:v>
                </c:pt>
                <c:pt idx="32">
                  <c:v>229.2</c:v>
                </c:pt>
                <c:pt idx="33">
                  <c:v>229.2</c:v>
                </c:pt>
                <c:pt idx="34">
                  <c:v>229.2</c:v>
                </c:pt>
                <c:pt idx="35">
                  <c:v>229.2</c:v>
                </c:pt>
                <c:pt idx="36">
                  <c:v>229.2</c:v>
                </c:pt>
                <c:pt idx="37">
                  <c:v>229.2</c:v>
                </c:pt>
                <c:pt idx="38">
                  <c:v>229.2</c:v>
                </c:pt>
                <c:pt idx="39">
                  <c:v>229.2</c:v>
                </c:pt>
                <c:pt idx="40">
                  <c:v>229.2</c:v>
                </c:pt>
                <c:pt idx="41">
                  <c:v>229.2</c:v>
                </c:pt>
                <c:pt idx="42">
                  <c:v>229.2</c:v>
                </c:pt>
                <c:pt idx="43">
                  <c:v>229.2</c:v>
                </c:pt>
                <c:pt idx="44">
                  <c:v>229.2</c:v>
                </c:pt>
                <c:pt idx="45">
                  <c:v>229.2</c:v>
                </c:pt>
                <c:pt idx="46">
                  <c:v>229.2</c:v>
                </c:pt>
                <c:pt idx="47">
                  <c:v>229.2</c:v>
                </c:pt>
                <c:pt idx="48">
                  <c:v>229.2</c:v>
                </c:pt>
                <c:pt idx="49">
                  <c:v>229.2</c:v>
                </c:pt>
                <c:pt idx="50">
                  <c:v>229.2</c:v>
                </c:pt>
                <c:pt idx="51">
                  <c:v>229.2</c:v>
                </c:pt>
                <c:pt idx="52">
                  <c:v>229.2</c:v>
                </c:pt>
                <c:pt idx="53">
                  <c:v>229.2</c:v>
                </c:pt>
                <c:pt idx="54">
                  <c:v>229.2</c:v>
                </c:pt>
                <c:pt idx="55">
                  <c:v>229.2</c:v>
                </c:pt>
                <c:pt idx="56">
                  <c:v>229.2</c:v>
                </c:pt>
                <c:pt idx="57">
                  <c:v>229.2</c:v>
                </c:pt>
                <c:pt idx="58">
                  <c:v>229.2</c:v>
                </c:pt>
                <c:pt idx="59">
                  <c:v>229.2</c:v>
                </c:pt>
                <c:pt idx="60">
                  <c:v>229.2</c:v>
                </c:pt>
                <c:pt idx="61">
                  <c:v>229.2</c:v>
                </c:pt>
              </c:numCache>
            </c:numRef>
          </c:val>
          <c:smooth val="0"/>
        </c:ser>
        <c:ser>
          <c:idx val="3"/>
          <c:order val="3"/>
          <c:tx>
            <c:v>data</c:v>
          </c:tx>
          <c:spPr>
            <a:ln>
              <a:solidFill>
                <a:schemeClr val="accent1"/>
              </a:solidFill>
            </a:ln>
          </c:spPr>
          <c:marker>
            <c:symbol val="circle"/>
            <c:size val="4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cat>
            <c:multiLvlStrRef>
              <c:f>[0]!G4_XValues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[0]!G4_Data</c:f>
              <c:numCache>
                <c:formatCode>General</c:formatCode>
                <c:ptCount val="62"/>
                <c:pt idx="0">
                  <c:v>225.94</c:v>
                </c:pt>
                <c:pt idx="1">
                  <c:v>226.49</c:v>
                </c:pt>
                <c:pt idx="2">
                  <c:v>226.41</c:v>
                </c:pt>
                <c:pt idx="3">
                  <c:v>226.7</c:v>
                </c:pt>
                <c:pt idx="4">
                  <c:v>226.3</c:v>
                </c:pt>
                <c:pt idx="5">
                  <c:v>227.2</c:v>
                </c:pt>
                <c:pt idx="6">
                  <c:v>226.1</c:v>
                </c:pt>
                <c:pt idx="7">
                  <c:v>227.8</c:v>
                </c:pt>
                <c:pt idx="8">
                  <c:v>227.8</c:v>
                </c:pt>
                <c:pt idx="9">
                  <c:v>227.24</c:v>
                </c:pt>
                <c:pt idx="10">
                  <c:v>226.15</c:v>
                </c:pt>
                <c:pt idx="11">
                  <c:v>227.81</c:v>
                </c:pt>
                <c:pt idx="12">
                  <c:v>227.1</c:v>
                </c:pt>
                <c:pt idx="13">
                  <c:v>226.61</c:v>
                </c:pt>
                <c:pt idx="14">
                  <c:v>226.48</c:v>
                </c:pt>
                <c:pt idx="15">
                  <c:v>226.9</c:v>
                </c:pt>
                <c:pt idx="16">
                  <c:v>226.54</c:v>
                </c:pt>
                <c:pt idx="17">
                  <c:v>226.12</c:v>
                </c:pt>
                <c:pt idx="18">
                  <c:v>226.7</c:v>
                </c:pt>
                <c:pt idx="19">
                  <c:v>226.9</c:v>
                </c:pt>
                <c:pt idx="20">
                  <c:v>227</c:v>
                </c:pt>
                <c:pt idx="21">
                  <c:v>225.38</c:v>
                </c:pt>
                <c:pt idx="22">
                  <c:v>227.4</c:v>
                </c:pt>
                <c:pt idx="23">
                  <c:v>226.2</c:v>
                </c:pt>
                <c:pt idx="24">
                  <c:v>226.9</c:v>
                </c:pt>
                <c:pt idx="25">
                  <c:v>227.18</c:v>
                </c:pt>
                <c:pt idx="26">
                  <c:v>226.75</c:v>
                </c:pt>
                <c:pt idx="27">
                  <c:v>225.68</c:v>
                </c:pt>
                <c:pt idx="28">
                  <c:v>226.95</c:v>
                </c:pt>
                <c:pt idx="29">
                  <c:v>227.18</c:v>
                </c:pt>
                <c:pt idx="30">
                  <c:v>227.2</c:v>
                </c:pt>
                <c:pt idx="31">
                  <c:v>226.32</c:v>
                </c:pt>
                <c:pt idx="32">
                  <c:v>227.29</c:v>
                </c:pt>
                <c:pt idx="33">
                  <c:v>227.17</c:v>
                </c:pt>
                <c:pt idx="34">
                  <c:v>227.3</c:v>
                </c:pt>
                <c:pt idx="35">
                  <c:v>227.84</c:v>
                </c:pt>
                <c:pt idx="36">
                  <c:v>226.27</c:v>
                </c:pt>
                <c:pt idx="37">
                  <c:v>226.44</c:v>
                </c:pt>
                <c:pt idx="38">
                  <c:v>226.54</c:v>
                </c:pt>
                <c:pt idx="39">
                  <c:v>226.75</c:v>
                </c:pt>
                <c:pt idx="40">
                  <c:v>226.19</c:v>
                </c:pt>
                <c:pt idx="41">
                  <c:v>226.74</c:v>
                </c:pt>
                <c:pt idx="42">
                  <c:v>226.97</c:v>
                </c:pt>
                <c:pt idx="43">
                  <c:v>227.51</c:v>
                </c:pt>
                <c:pt idx="44">
                  <c:v>227.44</c:v>
                </c:pt>
                <c:pt idx="45">
                  <c:v>227.1</c:v>
                </c:pt>
                <c:pt idx="46">
                  <c:v>226.53</c:v>
                </c:pt>
                <c:pt idx="47">
                  <c:v>227.31</c:v>
                </c:pt>
                <c:pt idx="48">
                  <c:v>227.08</c:v>
                </c:pt>
                <c:pt idx="49">
                  <c:v>227.47</c:v>
                </c:pt>
                <c:pt idx="50">
                  <c:v>227.25</c:v>
                </c:pt>
                <c:pt idx="51">
                  <c:v>227.04</c:v>
                </c:pt>
                <c:pt idx="52">
                  <c:v>227.77</c:v>
                </c:pt>
                <c:pt idx="53">
                  <c:v>226.93</c:v>
                </c:pt>
                <c:pt idx="54">
                  <c:v>227.93</c:v>
                </c:pt>
                <c:pt idx="55">
                  <c:v>227.85</c:v>
                </c:pt>
                <c:pt idx="56">
                  <c:v>226.42</c:v>
                </c:pt>
                <c:pt idx="57">
                  <c:v>227.4</c:v>
                </c:pt>
                <c:pt idx="58">
                  <c:v>227.75</c:v>
                </c:pt>
                <c:pt idx="59">
                  <c:v>227.06</c:v>
                </c:pt>
                <c:pt idx="60">
                  <c:v>225.91</c:v>
                </c:pt>
                <c:pt idx="61">
                  <c:v>226.98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261824"/>
        <c:axId val="78382208"/>
      </c:lineChart>
      <c:catAx>
        <c:axId val="77261824"/>
        <c:scaling>
          <c:orientation val="minMax"/>
        </c:scaling>
        <c:delete val="1"/>
        <c:axPos val="b"/>
        <c:majorTickMark val="out"/>
        <c:minorTickMark val="none"/>
        <c:tickLblPos val="nextTo"/>
        <c:crossAx val="78382208"/>
        <c:crosses val="autoZero"/>
        <c:auto val="0"/>
        <c:lblAlgn val="ctr"/>
        <c:lblOffset val="100"/>
        <c:noMultiLvlLbl val="1"/>
      </c:catAx>
      <c:valAx>
        <c:axId val="783822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7261824"/>
        <c:crosses val="autoZero"/>
        <c:crossBetween val="midCat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nominal</c:v>
          </c:tx>
          <c:spPr>
            <a:ln>
              <a:solidFill>
                <a:srgbClr val="92D050"/>
              </a:solidFill>
            </a:ln>
          </c:spPr>
          <c:marker>
            <c:symbol val="none"/>
          </c:marker>
          <c:cat>
            <c:multiLvlStrRef>
              <c:f>[0]!G5_XValues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[0]!G5_Nominal</c:f>
              <c:numCache>
                <c:formatCode>General</c:formatCode>
                <c:ptCount val="62"/>
                <c:pt idx="0">
                  <c:v>326</c:v>
                </c:pt>
                <c:pt idx="1">
                  <c:v>326</c:v>
                </c:pt>
                <c:pt idx="2">
                  <c:v>326</c:v>
                </c:pt>
                <c:pt idx="3">
                  <c:v>326</c:v>
                </c:pt>
                <c:pt idx="4">
                  <c:v>326</c:v>
                </c:pt>
                <c:pt idx="5">
                  <c:v>326</c:v>
                </c:pt>
                <c:pt idx="6">
                  <c:v>326</c:v>
                </c:pt>
                <c:pt idx="7">
                  <c:v>326</c:v>
                </c:pt>
                <c:pt idx="8">
                  <c:v>326</c:v>
                </c:pt>
                <c:pt idx="9">
                  <c:v>326</c:v>
                </c:pt>
                <c:pt idx="10">
                  <c:v>326</c:v>
                </c:pt>
                <c:pt idx="11">
                  <c:v>326</c:v>
                </c:pt>
                <c:pt idx="12">
                  <c:v>326</c:v>
                </c:pt>
                <c:pt idx="13">
                  <c:v>326</c:v>
                </c:pt>
                <c:pt idx="14">
                  <c:v>326</c:v>
                </c:pt>
                <c:pt idx="15">
                  <c:v>326</c:v>
                </c:pt>
                <c:pt idx="16">
                  <c:v>326</c:v>
                </c:pt>
                <c:pt idx="17">
                  <c:v>326</c:v>
                </c:pt>
                <c:pt idx="18">
                  <c:v>326</c:v>
                </c:pt>
                <c:pt idx="19">
                  <c:v>326</c:v>
                </c:pt>
                <c:pt idx="20">
                  <c:v>326</c:v>
                </c:pt>
                <c:pt idx="21">
                  <c:v>326</c:v>
                </c:pt>
                <c:pt idx="22">
                  <c:v>326</c:v>
                </c:pt>
                <c:pt idx="23">
                  <c:v>326</c:v>
                </c:pt>
                <c:pt idx="24">
                  <c:v>326</c:v>
                </c:pt>
                <c:pt idx="25">
                  <c:v>326</c:v>
                </c:pt>
                <c:pt idx="26">
                  <c:v>326</c:v>
                </c:pt>
                <c:pt idx="27">
                  <c:v>326</c:v>
                </c:pt>
                <c:pt idx="28">
                  <c:v>326</c:v>
                </c:pt>
                <c:pt idx="29">
                  <c:v>326</c:v>
                </c:pt>
                <c:pt idx="30">
                  <c:v>326</c:v>
                </c:pt>
                <c:pt idx="31">
                  <c:v>326</c:v>
                </c:pt>
                <c:pt idx="32">
                  <c:v>326</c:v>
                </c:pt>
                <c:pt idx="33">
                  <c:v>326</c:v>
                </c:pt>
                <c:pt idx="34">
                  <c:v>326</c:v>
                </c:pt>
                <c:pt idx="35">
                  <c:v>326</c:v>
                </c:pt>
                <c:pt idx="36">
                  <c:v>326</c:v>
                </c:pt>
                <c:pt idx="37">
                  <c:v>326</c:v>
                </c:pt>
                <c:pt idx="38">
                  <c:v>326</c:v>
                </c:pt>
                <c:pt idx="39">
                  <c:v>326</c:v>
                </c:pt>
                <c:pt idx="40">
                  <c:v>326</c:v>
                </c:pt>
                <c:pt idx="41">
                  <c:v>326</c:v>
                </c:pt>
                <c:pt idx="42">
                  <c:v>326</c:v>
                </c:pt>
                <c:pt idx="43">
                  <c:v>326</c:v>
                </c:pt>
                <c:pt idx="44">
                  <c:v>326</c:v>
                </c:pt>
                <c:pt idx="45">
                  <c:v>326</c:v>
                </c:pt>
                <c:pt idx="46">
                  <c:v>326</c:v>
                </c:pt>
                <c:pt idx="47">
                  <c:v>326</c:v>
                </c:pt>
                <c:pt idx="48">
                  <c:v>326</c:v>
                </c:pt>
                <c:pt idx="49">
                  <c:v>326</c:v>
                </c:pt>
                <c:pt idx="50">
                  <c:v>326</c:v>
                </c:pt>
                <c:pt idx="51">
                  <c:v>326</c:v>
                </c:pt>
                <c:pt idx="52">
                  <c:v>326</c:v>
                </c:pt>
                <c:pt idx="53">
                  <c:v>326</c:v>
                </c:pt>
                <c:pt idx="54">
                  <c:v>326</c:v>
                </c:pt>
                <c:pt idx="55">
                  <c:v>326</c:v>
                </c:pt>
                <c:pt idx="56">
                  <c:v>326</c:v>
                </c:pt>
                <c:pt idx="57">
                  <c:v>326</c:v>
                </c:pt>
                <c:pt idx="58">
                  <c:v>326</c:v>
                </c:pt>
                <c:pt idx="59">
                  <c:v>326</c:v>
                </c:pt>
                <c:pt idx="60">
                  <c:v>326</c:v>
                </c:pt>
                <c:pt idx="61">
                  <c:v>326</c:v>
                </c:pt>
              </c:numCache>
            </c:numRef>
          </c:val>
          <c:smooth val="0"/>
        </c:ser>
        <c:ser>
          <c:idx val="1"/>
          <c:order val="1"/>
          <c:tx>
            <c:v>lie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[0]!G5_XValues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[0]!G5_Lie</c:f>
              <c:numCache>
                <c:formatCode>General</c:formatCode>
                <c:ptCount val="62"/>
                <c:pt idx="0">
                  <c:v>323</c:v>
                </c:pt>
                <c:pt idx="1">
                  <c:v>323</c:v>
                </c:pt>
                <c:pt idx="2">
                  <c:v>323</c:v>
                </c:pt>
                <c:pt idx="3">
                  <c:v>323</c:v>
                </c:pt>
                <c:pt idx="4">
                  <c:v>323</c:v>
                </c:pt>
                <c:pt idx="5">
                  <c:v>323</c:v>
                </c:pt>
                <c:pt idx="6">
                  <c:v>323</c:v>
                </c:pt>
                <c:pt idx="7">
                  <c:v>323</c:v>
                </c:pt>
                <c:pt idx="8">
                  <c:v>323</c:v>
                </c:pt>
                <c:pt idx="9">
                  <c:v>323</c:v>
                </c:pt>
                <c:pt idx="10">
                  <c:v>323</c:v>
                </c:pt>
                <c:pt idx="11">
                  <c:v>323</c:v>
                </c:pt>
                <c:pt idx="12">
                  <c:v>323</c:v>
                </c:pt>
                <c:pt idx="13">
                  <c:v>323</c:v>
                </c:pt>
                <c:pt idx="14">
                  <c:v>323</c:v>
                </c:pt>
                <c:pt idx="15">
                  <c:v>323</c:v>
                </c:pt>
                <c:pt idx="16">
                  <c:v>323</c:v>
                </c:pt>
                <c:pt idx="17">
                  <c:v>323</c:v>
                </c:pt>
                <c:pt idx="18">
                  <c:v>323</c:v>
                </c:pt>
                <c:pt idx="19">
                  <c:v>323</c:v>
                </c:pt>
                <c:pt idx="20">
                  <c:v>323</c:v>
                </c:pt>
                <c:pt idx="21">
                  <c:v>323</c:v>
                </c:pt>
                <c:pt idx="22">
                  <c:v>323</c:v>
                </c:pt>
                <c:pt idx="23">
                  <c:v>323</c:v>
                </c:pt>
                <c:pt idx="24">
                  <c:v>323</c:v>
                </c:pt>
                <c:pt idx="25">
                  <c:v>323</c:v>
                </c:pt>
                <c:pt idx="26">
                  <c:v>323</c:v>
                </c:pt>
                <c:pt idx="27">
                  <c:v>323</c:v>
                </c:pt>
                <c:pt idx="28">
                  <c:v>323</c:v>
                </c:pt>
                <c:pt idx="29">
                  <c:v>323</c:v>
                </c:pt>
                <c:pt idx="30">
                  <c:v>323</c:v>
                </c:pt>
                <c:pt idx="31">
                  <c:v>323</c:v>
                </c:pt>
                <c:pt idx="32">
                  <c:v>323</c:v>
                </c:pt>
                <c:pt idx="33">
                  <c:v>323</c:v>
                </c:pt>
                <c:pt idx="34">
                  <c:v>323</c:v>
                </c:pt>
                <c:pt idx="35">
                  <c:v>323</c:v>
                </c:pt>
                <c:pt idx="36">
                  <c:v>323</c:v>
                </c:pt>
                <c:pt idx="37">
                  <c:v>323</c:v>
                </c:pt>
                <c:pt idx="38">
                  <c:v>323</c:v>
                </c:pt>
                <c:pt idx="39">
                  <c:v>323</c:v>
                </c:pt>
                <c:pt idx="40">
                  <c:v>323</c:v>
                </c:pt>
                <c:pt idx="41">
                  <c:v>323</c:v>
                </c:pt>
                <c:pt idx="42">
                  <c:v>323</c:v>
                </c:pt>
                <c:pt idx="43">
                  <c:v>323</c:v>
                </c:pt>
                <c:pt idx="44">
                  <c:v>323</c:v>
                </c:pt>
                <c:pt idx="45">
                  <c:v>323</c:v>
                </c:pt>
                <c:pt idx="46">
                  <c:v>323</c:v>
                </c:pt>
                <c:pt idx="47">
                  <c:v>323</c:v>
                </c:pt>
                <c:pt idx="48">
                  <c:v>323</c:v>
                </c:pt>
                <c:pt idx="49">
                  <c:v>323</c:v>
                </c:pt>
                <c:pt idx="50">
                  <c:v>323</c:v>
                </c:pt>
                <c:pt idx="51">
                  <c:v>323</c:v>
                </c:pt>
                <c:pt idx="52">
                  <c:v>323</c:v>
                </c:pt>
                <c:pt idx="53">
                  <c:v>323</c:v>
                </c:pt>
                <c:pt idx="54">
                  <c:v>323</c:v>
                </c:pt>
                <c:pt idx="55">
                  <c:v>323</c:v>
                </c:pt>
                <c:pt idx="56">
                  <c:v>323</c:v>
                </c:pt>
                <c:pt idx="57">
                  <c:v>323</c:v>
                </c:pt>
                <c:pt idx="58">
                  <c:v>323</c:v>
                </c:pt>
                <c:pt idx="59">
                  <c:v>323</c:v>
                </c:pt>
                <c:pt idx="60">
                  <c:v>323</c:v>
                </c:pt>
                <c:pt idx="61">
                  <c:v>323</c:v>
                </c:pt>
              </c:numCache>
            </c:numRef>
          </c:val>
          <c:smooth val="0"/>
        </c:ser>
        <c:ser>
          <c:idx val="2"/>
          <c:order val="2"/>
          <c:tx>
            <c:v>lse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[0]!G5_XValues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[0]!G5_Lse</c:f>
              <c:numCache>
                <c:formatCode>General</c:formatCode>
                <c:ptCount val="62"/>
                <c:pt idx="0">
                  <c:v>329</c:v>
                </c:pt>
                <c:pt idx="1">
                  <c:v>329</c:v>
                </c:pt>
                <c:pt idx="2">
                  <c:v>329</c:v>
                </c:pt>
                <c:pt idx="3">
                  <c:v>329</c:v>
                </c:pt>
                <c:pt idx="4">
                  <c:v>329</c:v>
                </c:pt>
                <c:pt idx="5">
                  <c:v>329</c:v>
                </c:pt>
                <c:pt idx="6">
                  <c:v>329</c:v>
                </c:pt>
                <c:pt idx="7">
                  <c:v>329</c:v>
                </c:pt>
                <c:pt idx="8">
                  <c:v>329</c:v>
                </c:pt>
                <c:pt idx="9">
                  <c:v>329</c:v>
                </c:pt>
                <c:pt idx="10">
                  <c:v>329</c:v>
                </c:pt>
                <c:pt idx="11">
                  <c:v>329</c:v>
                </c:pt>
                <c:pt idx="12">
                  <c:v>329</c:v>
                </c:pt>
                <c:pt idx="13">
                  <c:v>329</c:v>
                </c:pt>
                <c:pt idx="14">
                  <c:v>329</c:v>
                </c:pt>
                <c:pt idx="15">
                  <c:v>329</c:v>
                </c:pt>
                <c:pt idx="16">
                  <c:v>329</c:v>
                </c:pt>
                <c:pt idx="17">
                  <c:v>329</c:v>
                </c:pt>
                <c:pt idx="18">
                  <c:v>329</c:v>
                </c:pt>
                <c:pt idx="19">
                  <c:v>329</c:v>
                </c:pt>
                <c:pt idx="20">
                  <c:v>329</c:v>
                </c:pt>
                <c:pt idx="21">
                  <c:v>329</c:v>
                </c:pt>
                <c:pt idx="22">
                  <c:v>329</c:v>
                </c:pt>
                <c:pt idx="23">
                  <c:v>329</c:v>
                </c:pt>
                <c:pt idx="24">
                  <c:v>329</c:v>
                </c:pt>
                <c:pt idx="25">
                  <c:v>329</c:v>
                </c:pt>
                <c:pt idx="26">
                  <c:v>329</c:v>
                </c:pt>
                <c:pt idx="27">
                  <c:v>329</c:v>
                </c:pt>
                <c:pt idx="28">
                  <c:v>329</c:v>
                </c:pt>
                <c:pt idx="29">
                  <c:v>329</c:v>
                </c:pt>
                <c:pt idx="30">
                  <c:v>329</c:v>
                </c:pt>
                <c:pt idx="31">
                  <c:v>329</c:v>
                </c:pt>
                <c:pt idx="32">
                  <c:v>329</c:v>
                </c:pt>
                <c:pt idx="33">
                  <c:v>329</c:v>
                </c:pt>
                <c:pt idx="34">
                  <c:v>329</c:v>
                </c:pt>
                <c:pt idx="35">
                  <c:v>329</c:v>
                </c:pt>
                <c:pt idx="36">
                  <c:v>329</c:v>
                </c:pt>
                <c:pt idx="37">
                  <c:v>329</c:v>
                </c:pt>
                <c:pt idx="38">
                  <c:v>329</c:v>
                </c:pt>
                <c:pt idx="39">
                  <c:v>329</c:v>
                </c:pt>
                <c:pt idx="40">
                  <c:v>329</c:v>
                </c:pt>
                <c:pt idx="41">
                  <c:v>329</c:v>
                </c:pt>
                <c:pt idx="42">
                  <c:v>329</c:v>
                </c:pt>
                <c:pt idx="43">
                  <c:v>329</c:v>
                </c:pt>
                <c:pt idx="44">
                  <c:v>329</c:v>
                </c:pt>
                <c:pt idx="45">
                  <c:v>329</c:v>
                </c:pt>
                <c:pt idx="46">
                  <c:v>329</c:v>
                </c:pt>
                <c:pt idx="47">
                  <c:v>329</c:v>
                </c:pt>
                <c:pt idx="48">
                  <c:v>329</c:v>
                </c:pt>
                <c:pt idx="49">
                  <c:v>329</c:v>
                </c:pt>
                <c:pt idx="50">
                  <c:v>329</c:v>
                </c:pt>
                <c:pt idx="51">
                  <c:v>329</c:v>
                </c:pt>
                <c:pt idx="52">
                  <c:v>329</c:v>
                </c:pt>
                <c:pt idx="53">
                  <c:v>329</c:v>
                </c:pt>
                <c:pt idx="54">
                  <c:v>329</c:v>
                </c:pt>
                <c:pt idx="55">
                  <c:v>329</c:v>
                </c:pt>
                <c:pt idx="56">
                  <c:v>329</c:v>
                </c:pt>
                <c:pt idx="57">
                  <c:v>329</c:v>
                </c:pt>
                <c:pt idx="58">
                  <c:v>329</c:v>
                </c:pt>
                <c:pt idx="59">
                  <c:v>329</c:v>
                </c:pt>
                <c:pt idx="60">
                  <c:v>329</c:v>
                </c:pt>
                <c:pt idx="61">
                  <c:v>329</c:v>
                </c:pt>
              </c:numCache>
            </c:numRef>
          </c:val>
          <c:smooth val="0"/>
        </c:ser>
        <c:ser>
          <c:idx val="3"/>
          <c:order val="3"/>
          <c:tx>
            <c:v>data</c:v>
          </c:tx>
          <c:spPr>
            <a:ln>
              <a:solidFill>
                <a:schemeClr val="accent1"/>
              </a:solidFill>
            </a:ln>
          </c:spPr>
          <c:marker>
            <c:symbol val="circle"/>
            <c:size val="4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cat>
            <c:multiLvlStrRef>
              <c:f>[0]!G5_XValues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[0]!G5_Data</c:f>
              <c:numCache>
                <c:formatCode>General</c:formatCode>
                <c:ptCount val="62"/>
                <c:pt idx="0">
                  <c:v>327.91</c:v>
                </c:pt>
                <c:pt idx="1">
                  <c:v>326.58</c:v>
                </c:pt>
                <c:pt idx="2">
                  <c:v>327.56</c:v>
                </c:pt>
                <c:pt idx="3">
                  <c:v>327.60000000000002</c:v>
                </c:pt>
                <c:pt idx="4">
                  <c:v>327</c:v>
                </c:pt>
                <c:pt idx="5">
                  <c:v>326.89999999999998</c:v>
                </c:pt>
                <c:pt idx="6">
                  <c:v>328</c:v>
                </c:pt>
                <c:pt idx="7">
                  <c:v>327.2</c:v>
                </c:pt>
                <c:pt idx="8">
                  <c:v>327.9</c:v>
                </c:pt>
                <c:pt idx="9">
                  <c:v>328.87</c:v>
                </c:pt>
                <c:pt idx="10">
                  <c:v>326.57</c:v>
                </c:pt>
                <c:pt idx="11">
                  <c:v>326.25</c:v>
                </c:pt>
                <c:pt idx="12">
                  <c:v>328.07</c:v>
                </c:pt>
                <c:pt idx="13">
                  <c:v>328.25</c:v>
                </c:pt>
                <c:pt idx="14">
                  <c:v>326.75</c:v>
                </c:pt>
                <c:pt idx="15">
                  <c:v>326.35000000000002</c:v>
                </c:pt>
                <c:pt idx="16">
                  <c:v>326.44</c:v>
                </c:pt>
                <c:pt idx="17">
                  <c:v>327.54000000000002</c:v>
                </c:pt>
                <c:pt idx="18">
                  <c:v>327.39999999999998</c:v>
                </c:pt>
                <c:pt idx="19">
                  <c:v>326.7</c:v>
                </c:pt>
                <c:pt idx="20">
                  <c:v>326.3</c:v>
                </c:pt>
                <c:pt idx="21">
                  <c:v>328.6</c:v>
                </c:pt>
                <c:pt idx="22">
                  <c:v>326.8</c:v>
                </c:pt>
                <c:pt idx="23">
                  <c:v>327.39999999999998</c:v>
                </c:pt>
                <c:pt idx="24">
                  <c:v>327.5</c:v>
                </c:pt>
                <c:pt idx="25">
                  <c:v>326.37</c:v>
                </c:pt>
                <c:pt idx="26">
                  <c:v>327.39999999999998</c:v>
                </c:pt>
                <c:pt idx="27">
                  <c:v>327.39</c:v>
                </c:pt>
                <c:pt idx="28">
                  <c:v>326.97000000000003</c:v>
                </c:pt>
                <c:pt idx="29">
                  <c:v>327.24</c:v>
                </c:pt>
                <c:pt idx="30">
                  <c:v>326.64</c:v>
                </c:pt>
                <c:pt idx="31">
                  <c:v>326.79000000000002</c:v>
                </c:pt>
                <c:pt idx="32">
                  <c:v>326.89</c:v>
                </c:pt>
                <c:pt idx="33">
                  <c:v>327.55</c:v>
                </c:pt>
                <c:pt idx="34">
                  <c:v>327.5</c:v>
                </c:pt>
                <c:pt idx="35">
                  <c:v>327.39</c:v>
                </c:pt>
                <c:pt idx="36">
                  <c:v>327.58999999999997</c:v>
                </c:pt>
                <c:pt idx="37">
                  <c:v>327.29000000000002</c:v>
                </c:pt>
                <c:pt idx="38">
                  <c:v>327.78</c:v>
                </c:pt>
                <c:pt idx="39">
                  <c:v>327.86</c:v>
                </c:pt>
                <c:pt idx="40">
                  <c:v>327.58</c:v>
                </c:pt>
                <c:pt idx="41">
                  <c:v>329.54</c:v>
                </c:pt>
                <c:pt idx="42">
                  <c:v>328.39</c:v>
                </c:pt>
                <c:pt idx="43">
                  <c:v>328.22</c:v>
                </c:pt>
                <c:pt idx="44">
                  <c:v>327.04000000000002</c:v>
                </c:pt>
                <c:pt idx="45">
                  <c:v>328.37</c:v>
                </c:pt>
                <c:pt idx="46">
                  <c:v>327.58</c:v>
                </c:pt>
                <c:pt idx="47">
                  <c:v>327.16000000000003</c:v>
                </c:pt>
                <c:pt idx="48">
                  <c:v>327.04000000000002</c:v>
                </c:pt>
                <c:pt idx="49">
                  <c:v>328.18</c:v>
                </c:pt>
                <c:pt idx="50">
                  <c:v>328.64</c:v>
                </c:pt>
                <c:pt idx="51">
                  <c:v>328.04</c:v>
                </c:pt>
                <c:pt idx="52">
                  <c:v>327.60000000000002</c:v>
                </c:pt>
                <c:pt idx="53">
                  <c:v>326.95</c:v>
                </c:pt>
                <c:pt idx="54">
                  <c:v>327.52999999999997</c:v>
                </c:pt>
                <c:pt idx="55">
                  <c:v>327.54000000000002</c:v>
                </c:pt>
                <c:pt idx="56">
                  <c:v>327.31</c:v>
                </c:pt>
                <c:pt idx="57">
                  <c:v>327.87</c:v>
                </c:pt>
                <c:pt idx="58">
                  <c:v>328.01</c:v>
                </c:pt>
                <c:pt idx="59">
                  <c:v>328.86</c:v>
                </c:pt>
                <c:pt idx="60">
                  <c:v>328.31</c:v>
                </c:pt>
                <c:pt idx="61">
                  <c:v>326.93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428416"/>
        <c:axId val="78438784"/>
      </c:lineChart>
      <c:catAx>
        <c:axId val="78428416"/>
        <c:scaling>
          <c:orientation val="minMax"/>
        </c:scaling>
        <c:delete val="1"/>
        <c:axPos val="b"/>
        <c:majorTickMark val="out"/>
        <c:minorTickMark val="none"/>
        <c:tickLblPos val="nextTo"/>
        <c:crossAx val="78438784"/>
        <c:crosses val="autoZero"/>
        <c:auto val="0"/>
        <c:lblAlgn val="ctr"/>
        <c:lblOffset val="100"/>
        <c:noMultiLvlLbl val="1"/>
      </c:catAx>
      <c:valAx>
        <c:axId val="784387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8428416"/>
        <c:crosses val="autoZero"/>
        <c:crossBetween val="midCat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nominal</c:v>
          </c:tx>
          <c:spPr>
            <a:ln>
              <a:solidFill>
                <a:srgbClr val="92D050"/>
              </a:solidFill>
            </a:ln>
          </c:spPr>
          <c:marker>
            <c:symbol val="none"/>
          </c:marker>
          <c:cat>
            <c:multiLvlStrRef>
              <c:f>[0]!G6_XValues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[0]!G6_Nominal</c:f>
              <c:numCache>
                <c:formatCode>General</c:formatCode>
                <c:ptCount val="62"/>
                <c:pt idx="0">
                  <c:v>990.2</c:v>
                </c:pt>
                <c:pt idx="1">
                  <c:v>990.2</c:v>
                </c:pt>
                <c:pt idx="2">
                  <c:v>990.2</c:v>
                </c:pt>
                <c:pt idx="3">
                  <c:v>990.2</c:v>
                </c:pt>
                <c:pt idx="4">
                  <c:v>990.2</c:v>
                </c:pt>
                <c:pt idx="5">
                  <c:v>990.2</c:v>
                </c:pt>
                <c:pt idx="6">
                  <c:v>990.2</c:v>
                </c:pt>
                <c:pt idx="7">
                  <c:v>990.2</c:v>
                </c:pt>
                <c:pt idx="8">
                  <c:v>990.2</c:v>
                </c:pt>
                <c:pt idx="9">
                  <c:v>990.2</c:v>
                </c:pt>
                <c:pt idx="10">
                  <c:v>990.2</c:v>
                </c:pt>
                <c:pt idx="11">
                  <c:v>990.2</c:v>
                </c:pt>
                <c:pt idx="12">
                  <c:v>990.2</c:v>
                </c:pt>
                <c:pt idx="13">
                  <c:v>990.2</c:v>
                </c:pt>
                <c:pt idx="14">
                  <c:v>990.2</c:v>
                </c:pt>
                <c:pt idx="15">
                  <c:v>990.2</c:v>
                </c:pt>
                <c:pt idx="16">
                  <c:v>990.2</c:v>
                </c:pt>
                <c:pt idx="17">
                  <c:v>990.2</c:v>
                </c:pt>
                <c:pt idx="18">
                  <c:v>990.2</c:v>
                </c:pt>
                <c:pt idx="19">
                  <c:v>990.2</c:v>
                </c:pt>
                <c:pt idx="20">
                  <c:v>990.2</c:v>
                </c:pt>
                <c:pt idx="21">
                  <c:v>990.2</c:v>
                </c:pt>
                <c:pt idx="22">
                  <c:v>990.2</c:v>
                </c:pt>
                <c:pt idx="23">
                  <c:v>990.2</c:v>
                </c:pt>
                <c:pt idx="24">
                  <c:v>990.2</c:v>
                </c:pt>
                <c:pt idx="25">
                  <c:v>990.2</c:v>
                </c:pt>
                <c:pt idx="26">
                  <c:v>990.2</c:v>
                </c:pt>
                <c:pt idx="27">
                  <c:v>990.2</c:v>
                </c:pt>
                <c:pt idx="28">
                  <c:v>990.2</c:v>
                </c:pt>
                <c:pt idx="29">
                  <c:v>990.2</c:v>
                </c:pt>
                <c:pt idx="30">
                  <c:v>990.2</c:v>
                </c:pt>
                <c:pt idx="31">
                  <c:v>990.2</c:v>
                </c:pt>
                <c:pt idx="32">
                  <c:v>990.2</c:v>
                </c:pt>
                <c:pt idx="33">
                  <c:v>990.2</c:v>
                </c:pt>
                <c:pt idx="34">
                  <c:v>990.2</c:v>
                </c:pt>
                <c:pt idx="35">
                  <c:v>990.2</c:v>
                </c:pt>
                <c:pt idx="36">
                  <c:v>990.2</c:v>
                </c:pt>
                <c:pt idx="37">
                  <c:v>990.2</c:v>
                </c:pt>
                <c:pt idx="38">
                  <c:v>990.2</c:v>
                </c:pt>
                <c:pt idx="39">
                  <c:v>990.2</c:v>
                </c:pt>
                <c:pt idx="40">
                  <c:v>990.2</c:v>
                </c:pt>
                <c:pt idx="41">
                  <c:v>990.2</c:v>
                </c:pt>
                <c:pt idx="42">
                  <c:v>990.2</c:v>
                </c:pt>
                <c:pt idx="43">
                  <c:v>990.2</c:v>
                </c:pt>
                <c:pt idx="44">
                  <c:v>990.2</c:v>
                </c:pt>
                <c:pt idx="45">
                  <c:v>990.2</c:v>
                </c:pt>
                <c:pt idx="46">
                  <c:v>990.2</c:v>
                </c:pt>
                <c:pt idx="47">
                  <c:v>990.2</c:v>
                </c:pt>
                <c:pt idx="48">
                  <c:v>990.2</c:v>
                </c:pt>
                <c:pt idx="49">
                  <c:v>990.2</c:v>
                </c:pt>
                <c:pt idx="50">
                  <c:v>990.2</c:v>
                </c:pt>
                <c:pt idx="51">
                  <c:v>990.2</c:v>
                </c:pt>
                <c:pt idx="52">
                  <c:v>990.2</c:v>
                </c:pt>
                <c:pt idx="53">
                  <c:v>990.2</c:v>
                </c:pt>
                <c:pt idx="54">
                  <c:v>990.2</c:v>
                </c:pt>
                <c:pt idx="55">
                  <c:v>990.2</c:v>
                </c:pt>
                <c:pt idx="56">
                  <c:v>990.2</c:v>
                </c:pt>
                <c:pt idx="57">
                  <c:v>990.2</c:v>
                </c:pt>
                <c:pt idx="58">
                  <c:v>990.2</c:v>
                </c:pt>
                <c:pt idx="59">
                  <c:v>990.2</c:v>
                </c:pt>
                <c:pt idx="60">
                  <c:v>990.2</c:v>
                </c:pt>
                <c:pt idx="61">
                  <c:v>990.2</c:v>
                </c:pt>
              </c:numCache>
            </c:numRef>
          </c:val>
          <c:smooth val="0"/>
        </c:ser>
        <c:ser>
          <c:idx val="1"/>
          <c:order val="1"/>
          <c:tx>
            <c:v>lie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[0]!G6_XValues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[0]!G6_Lie</c:f>
              <c:numCache>
                <c:formatCode>General</c:formatCode>
                <c:ptCount val="62"/>
                <c:pt idx="0">
                  <c:v>987.2</c:v>
                </c:pt>
                <c:pt idx="1">
                  <c:v>987.2</c:v>
                </c:pt>
                <c:pt idx="2">
                  <c:v>987.2</c:v>
                </c:pt>
                <c:pt idx="3">
                  <c:v>987.2</c:v>
                </c:pt>
                <c:pt idx="4">
                  <c:v>987.2</c:v>
                </c:pt>
                <c:pt idx="5">
                  <c:v>987.2</c:v>
                </c:pt>
                <c:pt idx="6">
                  <c:v>987.2</c:v>
                </c:pt>
                <c:pt idx="7">
                  <c:v>987.2</c:v>
                </c:pt>
                <c:pt idx="8">
                  <c:v>987.2</c:v>
                </c:pt>
                <c:pt idx="9">
                  <c:v>987.2</c:v>
                </c:pt>
                <c:pt idx="10">
                  <c:v>987.2</c:v>
                </c:pt>
                <c:pt idx="11">
                  <c:v>987.2</c:v>
                </c:pt>
                <c:pt idx="12">
                  <c:v>987.2</c:v>
                </c:pt>
                <c:pt idx="13">
                  <c:v>987.2</c:v>
                </c:pt>
                <c:pt idx="14">
                  <c:v>987.2</c:v>
                </c:pt>
                <c:pt idx="15">
                  <c:v>987.2</c:v>
                </c:pt>
                <c:pt idx="16">
                  <c:v>987.2</c:v>
                </c:pt>
                <c:pt idx="17">
                  <c:v>987.2</c:v>
                </c:pt>
                <c:pt idx="18">
                  <c:v>987.2</c:v>
                </c:pt>
                <c:pt idx="19">
                  <c:v>987.2</c:v>
                </c:pt>
                <c:pt idx="20">
                  <c:v>987.2</c:v>
                </c:pt>
                <c:pt idx="21">
                  <c:v>987.2</c:v>
                </c:pt>
                <c:pt idx="22">
                  <c:v>987.2</c:v>
                </c:pt>
                <c:pt idx="23">
                  <c:v>987.2</c:v>
                </c:pt>
                <c:pt idx="24">
                  <c:v>987.2</c:v>
                </c:pt>
                <c:pt idx="25">
                  <c:v>987.2</c:v>
                </c:pt>
                <c:pt idx="26">
                  <c:v>987.2</c:v>
                </c:pt>
                <c:pt idx="27">
                  <c:v>987.2</c:v>
                </c:pt>
                <c:pt idx="28">
                  <c:v>987.2</c:v>
                </c:pt>
                <c:pt idx="29">
                  <c:v>987.2</c:v>
                </c:pt>
                <c:pt idx="30">
                  <c:v>987.2</c:v>
                </c:pt>
                <c:pt idx="31">
                  <c:v>987.2</c:v>
                </c:pt>
                <c:pt idx="32">
                  <c:v>987.2</c:v>
                </c:pt>
                <c:pt idx="33">
                  <c:v>987.2</c:v>
                </c:pt>
                <c:pt idx="34">
                  <c:v>987.2</c:v>
                </c:pt>
                <c:pt idx="35">
                  <c:v>987.2</c:v>
                </c:pt>
                <c:pt idx="36">
                  <c:v>987.2</c:v>
                </c:pt>
                <c:pt idx="37">
                  <c:v>987.2</c:v>
                </c:pt>
                <c:pt idx="38">
                  <c:v>987.2</c:v>
                </c:pt>
                <c:pt idx="39">
                  <c:v>987.2</c:v>
                </c:pt>
                <c:pt idx="40">
                  <c:v>987.2</c:v>
                </c:pt>
                <c:pt idx="41">
                  <c:v>987.2</c:v>
                </c:pt>
                <c:pt idx="42">
                  <c:v>987.2</c:v>
                </c:pt>
                <c:pt idx="43">
                  <c:v>987.2</c:v>
                </c:pt>
                <c:pt idx="44">
                  <c:v>987.2</c:v>
                </c:pt>
                <c:pt idx="45">
                  <c:v>987.2</c:v>
                </c:pt>
                <c:pt idx="46">
                  <c:v>987.2</c:v>
                </c:pt>
                <c:pt idx="47">
                  <c:v>987.2</c:v>
                </c:pt>
                <c:pt idx="48">
                  <c:v>987.2</c:v>
                </c:pt>
                <c:pt idx="49">
                  <c:v>987.2</c:v>
                </c:pt>
                <c:pt idx="50">
                  <c:v>987.2</c:v>
                </c:pt>
                <c:pt idx="51">
                  <c:v>987.2</c:v>
                </c:pt>
                <c:pt idx="52">
                  <c:v>987.2</c:v>
                </c:pt>
                <c:pt idx="53">
                  <c:v>987.2</c:v>
                </c:pt>
                <c:pt idx="54">
                  <c:v>987.2</c:v>
                </c:pt>
                <c:pt idx="55">
                  <c:v>987.2</c:v>
                </c:pt>
                <c:pt idx="56">
                  <c:v>987.2</c:v>
                </c:pt>
                <c:pt idx="57">
                  <c:v>987.2</c:v>
                </c:pt>
                <c:pt idx="58">
                  <c:v>987.2</c:v>
                </c:pt>
                <c:pt idx="59">
                  <c:v>987.2</c:v>
                </c:pt>
                <c:pt idx="60">
                  <c:v>987.2</c:v>
                </c:pt>
                <c:pt idx="61">
                  <c:v>987.2</c:v>
                </c:pt>
              </c:numCache>
            </c:numRef>
          </c:val>
          <c:smooth val="0"/>
        </c:ser>
        <c:ser>
          <c:idx val="2"/>
          <c:order val="2"/>
          <c:tx>
            <c:v>lse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[0]!G6_XValues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[0]!G6_Lse</c:f>
              <c:numCache>
                <c:formatCode>General</c:formatCode>
                <c:ptCount val="62"/>
                <c:pt idx="0">
                  <c:v>993.2</c:v>
                </c:pt>
                <c:pt idx="1">
                  <c:v>993.2</c:v>
                </c:pt>
                <c:pt idx="2">
                  <c:v>993.2</c:v>
                </c:pt>
                <c:pt idx="3">
                  <c:v>993.2</c:v>
                </c:pt>
                <c:pt idx="4">
                  <c:v>993.2</c:v>
                </c:pt>
                <c:pt idx="5">
                  <c:v>993.2</c:v>
                </c:pt>
                <c:pt idx="6">
                  <c:v>993.2</c:v>
                </c:pt>
                <c:pt idx="7">
                  <c:v>993.2</c:v>
                </c:pt>
                <c:pt idx="8">
                  <c:v>993.2</c:v>
                </c:pt>
                <c:pt idx="9">
                  <c:v>993.2</c:v>
                </c:pt>
                <c:pt idx="10">
                  <c:v>993.2</c:v>
                </c:pt>
                <c:pt idx="11">
                  <c:v>993.2</c:v>
                </c:pt>
                <c:pt idx="12">
                  <c:v>993.2</c:v>
                </c:pt>
                <c:pt idx="13">
                  <c:v>993.2</c:v>
                </c:pt>
                <c:pt idx="14">
                  <c:v>993.2</c:v>
                </c:pt>
                <c:pt idx="15">
                  <c:v>993.2</c:v>
                </c:pt>
                <c:pt idx="16">
                  <c:v>993.2</c:v>
                </c:pt>
                <c:pt idx="17">
                  <c:v>993.2</c:v>
                </c:pt>
                <c:pt idx="18">
                  <c:v>993.2</c:v>
                </c:pt>
                <c:pt idx="19">
                  <c:v>993.2</c:v>
                </c:pt>
                <c:pt idx="20">
                  <c:v>993.2</c:v>
                </c:pt>
                <c:pt idx="21">
                  <c:v>993.2</c:v>
                </c:pt>
                <c:pt idx="22">
                  <c:v>993.2</c:v>
                </c:pt>
                <c:pt idx="23">
                  <c:v>993.2</c:v>
                </c:pt>
                <c:pt idx="24">
                  <c:v>993.2</c:v>
                </c:pt>
                <c:pt idx="25">
                  <c:v>993.2</c:v>
                </c:pt>
                <c:pt idx="26">
                  <c:v>993.2</c:v>
                </c:pt>
                <c:pt idx="27">
                  <c:v>993.2</c:v>
                </c:pt>
                <c:pt idx="28">
                  <c:v>993.2</c:v>
                </c:pt>
                <c:pt idx="29">
                  <c:v>993.2</c:v>
                </c:pt>
                <c:pt idx="30">
                  <c:v>993.2</c:v>
                </c:pt>
                <c:pt idx="31">
                  <c:v>993.2</c:v>
                </c:pt>
                <c:pt idx="32">
                  <c:v>993.2</c:v>
                </c:pt>
                <c:pt idx="33">
                  <c:v>993.2</c:v>
                </c:pt>
                <c:pt idx="34">
                  <c:v>993.2</c:v>
                </c:pt>
                <c:pt idx="35">
                  <c:v>993.2</c:v>
                </c:pt>
                <c:pt idx="36">
                  <c:v>993.2</c:v>
                </c:pt>
                <c:pt idx="37">
                  <c:v>993.2</c:v>
                </c:pt>
                <c:pt idx="38">
                  <c:v>993.2</c:v>
                </c:pt>
                <c:pt idx="39">
                  <c:v>993.2</c:v>
                </c:pt>
                <c:pt idx="40">
                  <c:v>993.2</c:v>
                </c:pt>
                <c:pt idx="41">
                  <c:v>993.2</c:v>
                </c:pt>
                <c:pt idx="42">
                  <c:v>993.2</c:v>
                </c:pt>
                <c:pt idx="43">
                  <c:v>993.2</c:v>
                </c:pt>
                <c:pt idx="44">
                  <c:v>993.2</c:v>
                </c:pt>
                <c:pt idx="45">
                  <c:v>993.2</c:v>
                </c:pt>
                <c:pt idx="46">
                  <c:v>993.2</c:v>
                </c:pt>
                <c:pt idx="47">
                  <c:v>993.2</c:v>
                </c:pt>
                <c:pt idx="48">
                  <c:v>993.2</c:v>
                </c:pt>
                <c:pt idx="49">
                  <c:v>993.2</c:v>
                </c:pt>
                <c:pt idx="50">
                  <c:v>993.2</c:v>
                </c:pt>
                <c:pt idx="51">
                  <c:v>993.2</c:v>
                </c:pt>
                <c:pt idx="52">
                  <c:v>993.2</c:v>
                </c:pt>
                <c:pt idx="53">
                  <c:v>993.2</c:v>
                </c:pt>
                <c:pt idx="54">
                  <c:v>993.2</c:v>
                </c:pt>
                <c:pt idx="55">
                  <c:v>993.2</c:v>
                </c:pt>
                <c:pt idx="56">
                  <c:v>993.2</c:v>
                </c:pt>
                <c:pt idx="57">
                  <c:v>993.2</c:v>
                </c:pt>
                <c:pt idx="58">
                  <c:v>993.2</c:v>
                </c:pt>
                <c:pt idx="59">
                  <c:v>993.2</c:v>
                </c:pt>
                <c:pt idx="60">
                  <c:v>993.2</c:v>
                </c:pt>
                <c:pt idx="61">
                  <c:v>993.2</c:v>
                </c:pt>
              </c:numCache>
            </c:numRef>
          </c:val>
          <c:smooth val="0"/>
        </c:ser>
        <c:ser>
          <c:idx val="3"/>
          <c:order val="3"/>
          <c:tx>
            <c:v>data</c:v>
          </c:tx>
          <c:spPr>
            <a:ln>
              <a:solidFill>
                <a:schemeClr val="accent1"/>
              </a:solidFill>
            </a:ln>
          </c:spPr>
          <c:marker>
            <c:symbol val="circle"/>
            <c:size val="4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cat>
            <c:multiLvlStrRef>
              <c:f>[0]!G6_XValues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[0]!G6_Data</c:f>
              <c:numCache>
                <c:formatCode>General</c:formatCode>
                <c:ptCount val="62"/>
                <c:pt idx="0">
                  <c:v>989.59</c:v>
                </c:pt>
                <c:pt idx="1">
                  <c:v>989.23</c:v>
                </c:pt>
                <c:pt idx="2">
                  <c:v>989.37</c:v>
                </c:pt>
                <c:pt idx="3">
                  <c:v>989.4</c:v>
                </c:pt>
                <c:pt idx="4">
                  <c:v>989.1</c:v>
                </c:pt>
                <c:pt idx="5">
                  <c:v>989.4</c:v>
                </c:pt>
                <c:pt idx="6">
                  <c:v>989.2</c:v>
                </c:pt>
                <c:pt idx="7">
                  <c:v>989.5</c:v>
                </c:pt>
                <c:pt idx="8">
                  <c:v>989.4</c:v>
                </c:pt>
                <c:pt idx="9">
                  <c:v>989.49</c:v>
                </c:pt>
                <c:pt idx="10">
                  <c:v>988.95</c:v>
                </c:pt>
                <c:pt idx="11">
                  <c:v>988.85</c:v>
                </c:pt>
                <c:pt idx="12">
                  <c:v>988.81</c:v>
                </c:pt>
                <c:pt idx="13">
                  <c:v>989.65</c:v>
                </c:pt>
                <c:pt idx="14">
                  <c:v>989.07</c:v>
                </c:pt>
                <c:pt idx="15">
                  <c:v>988.56</c:v>
                </c:pt>
                <c:pt idx="16">
                  <c:v>988.34</c:v>
                </c:pt>
                <c:pt idx="17">
                  <c:v>988.87</c:v>
                </c:pt>
                <c:pt idx="18">
                  <c:v>989.5</c:v>
                </c:pt>
                <c:pt idx="19">
                  <c:v>989.1</c:v>
                </c:pt>
                <c:pt idx="20">
                  <c:v>989.2</c:v>
                </c:pt>
                <c:pt idx="21">
                  <c:v>989.47</c:v>
                </c:pt>
                <c:pt idx="22">
                  <c:v>989.5</c:v>
                </c:pt>
                <c:pt idx="23">
                  <c:v>989.8</c:v>
                </c:pt>
                <c:pt idx="24">
                  <c:v>989.4</c:v>
                </c:pt>
                <c:pt idx="25">
                  <c:v>989.24</c:v>
                </c:pt>
                <c:pt idx="26">
                  <c:v>989.4</c:v>
                </c:pt>
                <c:pt idx="27">
                  <c:v>989.58</c:v>
                </c:pt>
                <c:pt idx="28">
                  <c:v>988.77</c:v>
                </c:pt>
                <c:pt idx="29">
                  <c:v>988.72</c:v>
                </c:pt>
                <c:pt idx="30">
                  <c:v>989.07</c:v>
                </c:pt>
                <c:pt idx="31">
                  <c:v>989.22</c:v>
                </c:pt>
                <c:pt idx="32">
                  <c:v>989.14</c:v>
                </c:pt>
                <c:pt idx="33">
                  <c:v>988.98</c:v>
                </c:pt>
                <c:pt idx="34">
                  <c:v>989.2</c:v>
                </c:pt>
                <c:pt idx="35">
                  <c:v>988.54</c:v>
                </c:pt>
                <c:pt idx="36">
                  <c:v>989.25</c:v>
                </c:pt>
                <c:pt idx="37">
                  <c:v>989.31</c:v>
                </c:pt>
                <c:pt idx="38">
                  <c:v>989.38</c:v>
                </c:pt>
                <c:pt idx="39">
                  <c:v>989.47</c:v>
                </c:pt>
                <c:pt idx="40">
                  <c:v>989.25</c:v>
                </c:pt>
                <c:pt idx="41">
                  <c:v>989.37</c:v>
                </c:pt>
                <c:pt idx="42">
                  <c:v>989.21</c:v>
                </c:pt>
                <c:pt idx="43">
                  <c:v>988.76</c:v>
                </c:pt>
                <c:pt idx="44">
                  <c:v>989.56</c:v>
                </c:pt>
                <c:pt idx="45">
                  <c:v>989.66</c:v>
                </c:pt>
                <c:pt idx="46">
                  <c:v>989</c:v>
                </c:pt>
                <c:pt idx="47">
                  <c:v>989.41</c:v>
                </c:pt>
                <c:pt idx="48">
                  <c:v>989.23</c:v>
                </c:pt>
                <c:pt idx="49">
                  <c:v>989.07</c:v>
                </c:pt>
                <c:pt idx="50">
                  <c:v>989.86</c:v>
                </c:pt>
                <c:pt idx="51">
                  <c:v>989.66</c:v>
                </c:pt>
                <c:pt idx="52">
                  <c:v>989.4</c:v>
                </c:pt>
                <c:pt idx="53">
                  <c:v>989.61</c:v>
                </c:pt>
                <c:pt idx="54">
                  <c:v>989.76</c:v>
                </c:pt>
                <c:pt idx="55">
                  <c:v>989.52</c:v>
                </c:pt>
                <c:pt idx="56">
                  <c:v>988.66</c:v>
                </c:pt>
                <c:pt idx="57">
                  <c:v>989.12</c:v>
                </c:pt>
                <c:pt idx="58">
                  <c:v>989.27</c:v>
                </c:pt>
                <c:pt idx="59">
                  <c:v>989.86</c:v>
                </c:pt>
                <c:pt idx="60">
                  <c:v>988.6</c:v>
                </c:pt>
                <c:pt idx="61">
                  <c:v>988.68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489088"/>
        <c:axId val="78491008"/>
      </c:lineChart>
      <c:catAx>
        <c:axId val="78489088"/>
        <c:scaling>
          <c:orientation val="minMax"/>
        </c:scaling>
        <c:delete val="1"/>
        <c:axPos val="b"/>
        <c:majorTickMark val="out"/>
        <c:minorTickMark val="none"/>
        <c:tickLblPos val="nextTo"/>
        <c:crossAx val="78491008"/>
        <c:crosses val="autoZero"/>
        <c:auto val="0"/>
        <c:lblAlgn val="ctr"/>
        <c:lblOffset val="100"/>
        <c:noMultiLvlLbl val="1"/>
      </c:catAx>
      <c:valAx>
        <c:axId val="784910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8489088"/>
        <c:crosses val="autoZero"/>
        <c:crossBetween val="midCat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nominal</c:v>
          </c:tx>
          <c:spPr>
            <a:ln>
              <a:solidFill>
                <a:srgbClr val="92D050"/>
              </a:solidFill>
            </a:ln>
          </c:spPr>
          <c:marker>
            <c:symbol val="none"/>
          </c:marker>
          <c:cat>
            <c:multiLvlStrRef>
              <c:f>[0]!G7_XValues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[0]!G7_Nominal</c:f>
              <c:numCache>
                <c:formatCode>General</c:formatCode>
                <c:ptCount val="62"/>
                <c:pt idx="0">
                  <c:v>226.2</c:v>
                </c:pt>
                <c:pt idx="1">
                  <c:v>226.2</c:v>
                </c:pt>
                <c:pt idx="2">
                  <c:v>226.2</c:v>
                </c:pt>
                <c:pt idx="3">
                  <c:v>226.2</c:v>
                </c:pt>
                <c:pt idx="4">
                  <c:v>226.2</c:v>
                </c:pt>
                <c:pt idx="5">
                  <c:v>226.2</c:v>
                </c:pt>
                <c:pt idx="6">
                  <c:v>226.2</c:v>
                </c:pt>
                <c:pt idx="7">
                  <c:v>226.2</c:v>
                </c:pt>
                <c:pt idx="8">
                  <c:v>226.2</c:v>
                </c:pt>
                <c:pt idx="9">
                  <c:v>226.2</c:v>
                </c:pt>
                <c:pt idx="10">
                  <c:v>226.2</c:v>
                </c:pt>
                <c:pt idx="11">
                  <c:v>226.2</c:v>
                </c:pt>
                <c:pt idx="12">
                  <c:v>226.2</c:v>
                </c:pt>
                <c:pt idx="13">
                  <c:v>226.2</c:v>
                </c:pt>
                <c:pt idx="14">
                  <c:v>226.2</c:v>
                </c:pt>
                <c:pt idx="15">
                  <c:v>226.2</c:v>
                </c:pt>
                <c:pt idx="16">
                  <c:v>226.2</c:v>
                </c:pt>
                <c:pt idx="17">
                  <c:v>226.2</c:v>
                </c:pt>
                <c:pt idx="18">
                  <c:v>226.2</c:v>
                </c:pt>
                <c:pt idx="19">
                  <c:v>226.2</c:v>
                </c:pt>
                <c:pt idx="20">
                  <c:v>226.2</c:v>
                </c:pt>
                <c:pt idx="21">
                  <c:v>226.2</c:v>
                </c:pt>
                <c:pt idx="22">
                  <c:v>226.2</c:v>
                </c:pt>
                <c:pt idx="23">
                  <c:v>226.2</c:v>
                </c:pt>
                <c:pt idx="24">
                  <c:v>226.2</c:v>
                </c:pt>
                <c:pt idx="25">
                  <c:v>226.2</c:v>
                </c:pt>
                <c:pt idx="26">
                  <c:v>226.2</c:v>
                </c:pt>
                <c:pt idx="27">
                  <c:v>226.2</c:v>
                </c:pt>
                <c:pt idx="28">
                  <c:v>226.2</c:v>
                </c:pt>
                <c:pt idx="29">
                  <c:v>226.2</c:v>
                </c:pt>
                <c:pt idx="30">
                  <c:v>226.2</c:v>
                </c:pt>
                <c:pt idx="31">
                  <c:v>226.2</c:v>
                </c:pt>
                <c:pt idx="32">
                  <c:v>226.2</c:v>
                </c:pt>
                <c:pt idx="33">
                  <c:v>226.2</c:v>
                </c:pt>
                <c:pt idx="34">
                  <c:v>226.2</c:v>
                </c:pt>
                <c:pt idx="35">
                  <c:v>226.2</c:v>
                </c:pt>
                <c:pt idx="36">
                  <c:v>226.2</c:v>
                </c:pt>
                <c:pt idx="37">
                  <c:v>226.2</c:v>
                </c:pt>
                <c:pt idx="38">
                  <c:v>226.2</c:v>
                </c:pt>
                <c:pt idx="39">
                  <c:v>226.2</c:v>
                </c:pt>
                <c:pt idx="40">
                  <c:v>226.2</c:v>
                </c:pt>
                <c:pt idx="41">
                  <c:v>226.2</c:v>
                </c:pt>
                <c:pt idx="42">
                  <c:v>226.2</c:v>
                </c:pt>
                <c:pt idx="43">
                  <c:v>226.2</c:v>
                </c:pt>
                <c:pt idx="44">
                  <c:v>226.2</c:v>
                </c:pt>
                <c:pt idx="45">
                  <c:v>226.2</c:v>
                </c:pt>
                <c:pt idx="46">
                  <c:v>226.2</c:v>
                </c:pt>
                <c:pt idx="47">
                  <c:v>226.2</c:v>
                </c:pt>
                <c:pt idx="48">
                  <c:v>226.2</c:v>
                </c:pt>
                <c:pt idx="49">
                  <c:v>226.2</c:v>
                </c:pt>
                <c:pt idx="50">
                  <c:v>226.2</c:v>
                </c:pt>
                <c:pt idx="51">
                  <c:v>226.2</c:v>
                </c:pt>
                <c:pt idx="52">
                  <c:v>226.2</c:v>
                </c:pt>
                <c:pt idx="53">
                  <c:v>226.2</c:v>
                </c:pt>
                <c:pt idx="54">
                  <c:v>226.2</c:v>
                </c:pt>
                <c:pt idx="55">
                  <c:v>226.2</c:v>
                </c:pt>
                <c:pt idx="56">
                  <c:v>226.2</c:v>
                </c:pt>
                <c:pt idx="57">
                  <c:v>226.2</c:v>
                </c:pt>
                <c:pt idx="58">
                  <c:v>226.2</c:v>
                </c:pt>
                <c:pt idx="59">
                  <c:v>226.2</c:v>
                </c:pt>
                <c:pt idx="60">
                  <c:v>226.2</c:v>
                </c:pt>
                <c:pt idx="61">
                  <c:v>226.2</c:v>
                </c:pt>
              </c:numCache>
            </c:numRef>
          </c:val>
          <c:smooth val="0"/>
        </c:ser>
        <c:ser>
          <c:idx val="1"/>
          <c:order val="1"/>
          <c:tx>
            <c:v>lie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[0]!G7_XValues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[0]!G7_Lie</c:f>
              <c:numCache>
                <c:formatCode>General</c:formatCode>
                <c:ptCount val="62"/>
                <c:pt idx="0">
                  <c:v>223.2</c:v>
                </c:pt>
                <c:pt idx="1">
                  <c:v>223.2</c:v>
                </c:pt>
                <c:pt idx="2">
                  <c:v>223.2</c:v>
                </c:pt>
                <c:pt idx="3">
                  <c:v>223.2</c:v>
                </c:pt>
                <c:pt idx="4">
                  <c:v>223.2</c:v>
                </c:pt>
                <c:pt idx="5">
                  <c:v>223.2</c:v>
                </c:pt>
                <c:pt idx="6">
                  <c:v>223.2</c:v>
                </c:pt>
                <c:pt idx="7">
                  <c:v>223.2</c:v>
                </c:pt>
                <c:pt idx="8">
                  <c:v>223.2</c:v>
                </c:pt>
                <c:pt idx="9">
                  <c:v>223.2</c:v>
                </c:pt>
                <c:pt idx="10">
                  <c:v>223.2</c:v>
                </c:pt>
                <c:pt idx="11">
                  <c:v>223.2</c:v>
                </c:pt>
                <c:pt idx="12">
                  <c:v>223.2</c:v>
                </c:pt>
                <c:pt idx="13">
                  <c:v>223.2</c:v>
                </c:pt>
                <c:pt idx="14">
                  <c:v>223.2</c:v>
                </c:pt>
                <c:pt idx="15">
                  <c:v>223.2</c:v>
                </c:pt>
                <c:pt idx="16">
                  <c:v>223.2</c:v>
                </c:pt>
                <c:pt idx="17">
                  <c:v>223.2</c:v>
                </c:pt>
                <c:pt idx="18">
                  <c:v>223.2</c:v>
                </c:pt>
                <c:pt idx="19">
                  <c:v>223.2</c:v>
                </c:pt>
                <c:pt idx="20">
                  <c:v>223.2</c:v>
                </c:pt>
                <c:pt idx="21">
                  <c:v>223.2</c:v>
                </c:pt>
                <c:pt idx="22">
                  <c:v>223.2</c:v>
                </c:pt>
                <c:pt idx="23">
                  <c:v>223.2</c:v>
                </c:pt>
                <c:pt idx="24">
                  <c:v>223.2</c:v>
                </c:pt>
                <c:pt idx="25">
                  <c:v>223.2</c:v>
                </c:pt>
                <c:pt idx="26">
                  <c:v>223.2</c:v>
                </c:pt>
                <c:pt idx="27">
                  <c:v>223.2</c:v>
                </c:pt>
                <c:pt idx="28">
                  <c:v>223.2</c:v>
                </c:pt>
                <c:pt idx="29">
                  <c:v>223.2</c:v>
                </c:pt>
                <c:pt idx="30">
                  <c:v>223.2</c:v>
                </c:pt>
                <c:pt idx="31">
                  <c:v>223.2</c:v>
                </c:pt>
                <c:pt idx="32">
                  <c:v>223.2</c:v>
                </c:pt>
                <c:pt idx="33">
                  <c:v>223.2</c:v>
                </c:pt>
                <c:pt idx="34">
                  <c:v>223.2</c:v>
                </c:pt>
                <c:pt idx="35">
                  <c:v>223.2</c:v>
                </c:pt>
                <c:pt idx="36">
                  <c:v>223.2</c:v>
                </c:pt>
                <c:pt idx="37">
                  <c:v>223.2</c:v>
                </c:pt>
                <c:pt idx="38">
                  <c:v>223.2</c:v>
                </c:pt>
                <c:pt idx="39">
                  <c:v>223.2</c:v>
                </c:pt>
                <c:pt idx="40">
                  <c:v>223.2</c:v>
                </c:pt>
                <c:pt idx="41">
                  <c:v>223.2</c:v>
                </c:pt>
                <c:pt idx="42">
                  <c:v>223.2</c:v>
                </c:pt>
                <c:pt idx="43">
                  <c:v>223.2</c:v>
                </c:pt>
                <c:pt idx="44">
                  <c:v>223.2</c:v>
                </c:pt>
                <c:pt idx="45">
                  <c:v>223.2</c:v>
                </c:pt>
                <c:pt idx="46">
                  <c:v>223.2</c:v>
                </c:pt>
                <c:pt idx="47">
                  <c:v>223.2</c:v>
                </c:pt>
                <c:pt idx="48">
                  <c:v>223.2</c:v>
                </c:pt>
                <c:pt idx="49">
                  <c:v>223.2</c:v>
                </c:pt>
                <c:pt idx="50">
                  <c:v>223.2</c:v>
                </c:pt>
                <c:pt idx="51">
                  <c:v>223.2</c:v>
                </c:pt>
                <c:pt idx="52">
                  <c:v>223.2</c:v>
                </c:pt>
                <c:pt idx="53">
                  <c:v>223.2</c:v>
                </c:pt>
                <c:pt idx="54">
                  <c:v>223.2</c:v>
                </c:pt>
                <c:pt idx="55">
                  <c:v>223.2</c:v>
                </c:pt>
                <c:pt idx="56">
                  <c:v>223.2</c:v>
                </c:pt>
                <c:pt idx="57">
                  <c:v>223.2</c:v>
                </c:pt>
                <c:pt idx="58">
                  <c:v>223.2</c:v>
                </c:pt>
                <c:pt idx="59">
                  <c:v>223.2</c:v>
                </c:pt>
                <c:pt idx="60">
                  <c:v>223.2</c:v>
                </c:pt>
                <c:pt idx="61">
                  <c:v>223.2</c:v>
                </c:pt>
              </c:numCache>
            </c:numRef>
          </c:val>
          <c:smooth val="0"/>
        </c:ser>
        <c:ser>
          <c:idx val="2"/>
          <c:order val="2"/>
          <c:tx>
            <c:v>lse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[0]!G7_XValues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[0]!G7_Lse</c:f>
              <c:numCache>
                <c:formatCode>General</c:formatCode>
                <c:ptCount val="62"/>
                <c:pt idx="0">
                  <c:v>229.2</c:v>
                </c:pt>
                <c:pt idx="1">
                  <c:v>229.2</c:v>
                </c:pt>
                <c:pt idx="2">
                  <c:v>229.2</c:v>
                </c:pt>
                <c:pt idx="3">
                  <c:v>229.2</c:v>
                </c:pt>
                <c:pt idx="4">
                  <c:v>229.2</c:v>
                </c:pt>
                <c:pt idx="5">
                  <c:v>229.2</c:v>
                </c:pt>
                <c:pt idx="6">
                  <c:v>229.2</c:v>
                </c:pt>
                <c:pt idx="7">
                  <c:v>229.2</c:v>
                </c:pt>
                <c:pt idx="8">
                  <c:v>229.2</c:v>
                </c:pt>
                <c:pt idx="9">
                  <c:v>229.2</c:v>
                </c:pt>
                <c:pt idx="10">
                  <c:v>229.2</c:v>
                </c:pt>
                <c:pt idx="11">
                  <c:v>229.2</c:v>
                </c:pt>
                <c:pt idx="12">
                  <c:v>229.2</c:v>
                </c:pt>
                <c:pt idx="13">
                  <c:v>229.2</c:v>
                </c:pt>
                <c:pt idx="14">
                  <c:v>229.2</c:v>
                </c:pt>
                <c:pt idx="15">
                  <c:v>229.2</c:v>
                </c:pt>
                <c:pt idx="16">
                  <c:v>229.2</c:v>
                </c:pt>
                <c:pt idx="17">
                  <c:v>229.2</c:v>
                </c:pt>
                <c:pt idx="18">
                  <c:v>229.2</c:v>
                </c:pt>
                <c:pt idx="19">
                  <c:v>229.2</c:v>
                </c:pt>
                <c:pt idx="20">
                  <c:v>229.2</c:v>
                </c:pt>
                <c:pt idx="21">
                  <c:v>229.2</c:v>
                </c:pt>
                <c:pt idx="22">
                  <c:v>229.2</c:v>
                </c:pt>
                <c:pt idx="23">
                  <c:v>229.2</c:v>
                </c:pt>
                <c:pt idx="24">
                  <c:v>229.2</c:v>
                </c:pt>
                <c:pt idx="25">
                  <c:v>229.2</c:v>
                </c:pt>
                <c:pt idx="26">
                  <c:v>229.2</c:v>
                </c:pt>
                <c:pt idx="27">
                  <c:v>229.2</c:v>
                </c:pt>
                <c:pt idx="28">
                  <c:v>229.2</c:v>
                </c:pt>
                <c:pt idx="29">
                  <c:v>229.2</c:v>
                </c:pt>
                <c:pt idx="30">
                  <c:v>229.2</c:v>
                </c:pt>
                <c:pt idx="31">
                  <c:v>229.2</c:v>
                </c:pt>
                <c:pt idx="32">
                  <c:v>229.2</c:v>
                </c:pt>
                <c:pt idx="33">
                  <c:v>229.2</c:v>
                </c:pt>
                <c:pt idx="34">
                  <c:v>229.2</c:v>
                </c:pt>
                <c:pt idx="35">
                  <c:v>229.2</c:v>
                </c:pt>
                <c:pt idx="36">
                  <c:v>229.2</c:v>
                </c:pt>
                <c:pt idx="37">
                  <c:v>229.2</c:v>
                </c:pt>
                <c:pt idx="38">
                  <c:v>229.2</c:v>
                </c:pt>
                <c:pt idx="39">
                  <c:v>229.2</c:v>
                </c:pt>
                <c:pt idx="40">
                  <c:v>229.2</c:v>
                </c:pt>
                <c:pt idx="41">
                  <c:v>229.2</c:v>
                </c:pt>
                <c:pt idx="42">
                  <c:v>229.2</c:v>
                </c:pt>
                <c:pt idx="43">
                  <c:v>229.2</c:v>
                </c:pt>
                <c:pt idx="44">
                  <c:v>229.2</c:v>
                </c:pt>
                <c:pt idx="45">
                  <c:v>229.2</c:v>
                </c:pt>
                <c:pt idx="46">
                  <c:v>229.2</c:v>
                </c:pt>
                <c:pt idx="47">
                  <c:v>229.2</c:v>
                </c:pt>
                <c:pt idx="48">
                  <c:v>229.2</c:v>
                </c:pt>
                <c:pt idx="49">
                  <c:v>229.2</c:v>
                </c:pt>
                <c:pt idx="50">
                  <c:v>229.2</c:v>
                </c:pt>
                <c:pt idx="51">
                  <c:v>229.2</c:v>
                </c:pt>
                <c:pt idx="52">
                  <c:v>229.2</c:v>
                </c:pt>
                <c:pt idx="53">
                  <c:v>229.2</c:v>
                </c:pt>
                <c:pt idx="54">
                  <c:v>229.2</c:v>
                </c:pt>
                <c:pt idx="55">
                  <c:v>229.2</c:v>
                </c:pt>
                <c:pt idx="56">
                  <c:v>229.2</c:v>
                </c:pt>
                <c:pt idx="57">
                  <c:v>229.2</c:v>
                </c:pt>
                <c:pt idx="58">
                  <c:v>229.2</c:v>
                </c:pt>
                <c:pt idx="59">
                  <c:v>229.2</c:v>
                </c:pt>
                <c:pt idx="60">
                  <c:v>229.2</c:v>
                </c:pt>
                <c:pt idx="61">
                  <c:v>229.2</c:v>
                </c:pt>
              </c:numCache>
            </c:numRef>
          </c:val>
          <c:smooth val="0"/>
        </c:ser>
        <c:ser>
          <c:idx val="3"/>
          <c:order val="3"/>
          <c:tx>
            <c:v>data</c:v>
          </c:tx>
          <c:spPr>
            <a:ln>
              <a:solidFill>
                <a:schemeClr val="accent1"/>
              </a:solidFill>
            </a:ln>
          </c:spPr>
          <c:marker>
            <c:symbol val="circle"/>
            <c:size val="4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cat>
            <c:multiLvlStrRef>
              <c:f>[0]!G7_XValues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[0]!G7_Data</c:f>
              <c:numCache>
                <c:formatCode>General</c:formatCode>
                <c:ptCount val="62"/>
                <c:pt idx="0">
                  <c:v>226.79</c:v>
                </c:pt>
                <c:pt idx="1">
                  <c:v>227.11</c:v>
                </c:pt>
                <c:pt idx="2">
                  <c:v>227.29</c:v>
                </c:pt>
                <c:pt idx="3">
                  <c:v>227.9</c:v>
                </c:pt>
                <c:pt idx="4">
                  <c:v>226.8</c:v>
                </c:pt>
                <c:pt idx="5">
                  <c:v>227.7</c:v>
                </c:pt>
                <c:pt idx="6">
                  <c:v>226.9</c:v>
                </c:pt>
                <c:pt idx="7">
                  <c:v>228.5</c:v>
                </c:pt>
                <c:pt idx="8">
                  <c:v>228.8</c:v>
                </c:pt>
                <c:pt idx="9">
                  <c:v>228.48</c:v>
                </c:pt>
                <c:pt idx="10">
                  <c:v>226.73</c:v>
                </c:pt>
                <c:pt idx="11">
                  <c:v>228.2</c:v>
                </c:pt>
                <c:pt idx="12">
                  <c:v>228.02</c:v>
                </c:pt>
                <c:pt idx="13">
                  <c:v>227.87</c:v>
                </c:pt>
                <c:pt idx="14">
                  <c:v>227.22</c:v>
                </c:pt>
                <c:pt idx="15">
                  <c:v>227.18</c:v>
                </c:pt>
                <c:pt idx="16">
                  <c:v>227.12</c:v>
                </c:pt>
                <c:pt idx="17">
                  <c:v>227.52</c:v>
                </c:pt>
                <c:pt idx="18">
                  <c:v>227.9</c:v>
                </c:pt>
                <c:pt idx="19">
                  <c:v>227.9</c:v>
                </c:pt>
                <c:pt idx="20">
                  <c:v>227.5</c:v>
                </c:pt>
                <c:pt idx="21">
                  <c:v>226.39</c:v>
                </c:pt>
                <c:pt idx="22">
                  <c:v>228.2</c:v>
                </c:pt>
                <c:pt idx="23">
                  <c:v>226.9</c:v>
                </c:pt>
                <c:pt idx="24">
                  <c:v>227.9</c:v>
                </c:pt>
                <c:pt idx="25">
                  <c:v>227.71</c:v>
                </c:pt>
                <c:pt idx="26">
                  <c:v>227.71</c:v>
                </c:pt>
                <c:pt idx="27">
                  <c:v>226.8</c:v>
                </c:pt>
                <c:pt idx="28">
                  <c:v>227.41</c:v>
                </c:pt>
                <c:pt idx="29">
                  <c:v>227.45</c:v>
                </c:pt>
                <c:pt idx="30">
                  <c:v>227.78</c:v>
                </c:pt>
                <c:pt idx="31">
                  <c:v>226.88</c:v>
                </c:pt>
                <c:pt idx="32">
                  <c:v>227.96</c:v>
                </c:pt>
                <c:pt idx="33">
                  <c:v>227.93</c:v>
                </c:pt>
                <c:pt idx="34">
                  <c:v>228</c:v>
                </c:pt>
                <c:pt idx="35">
                  <c:v>228.46</c:v>
                </c:pt>
                <c:pt idx="36">
                  <c:v>226.93</c:v>
                </c:pt>
                <c:pt idx="37">
                  <c:v>227.28</c:v>
                </c:pt>
                <c:pt idx="38">
                  <c:v>227.69</c:v>
                </c:pt>
                <c:pt idx="39">
                  <c:v>227.78</c:v>
                </c:pt>
                <c:pt idx="40">
                  <c:v>227.29</c:v>
                </c:pt>
                <c:pt idx="41">
                  <c:v>228.11</c:v>
                </c:pt>
                <c:pt idx="42">
                  <c:v>227.98</c:v>
                </c:pt>
                <c:pt idx="43">
                  <c:v>228.38</c:v>
                </c:pt>
                <c:pt idx="44">
                  <c:v>228.11</c:v>
                </c:pt>
                <c:pt idx="45">
                  <c:v>228.42</c:v>
                </c:pt>
                <c:pt idx="46">
                  <c:v>227.19</c:v>
                </c:pt>
                <c:pt idx="47">
                  <c:v>228.19</c:v>
                </c:pt>
                <c:pt idx="48">
                  <c:v>227.68</c:v>
                </c:pt>
                <c:pt idx="49">
                  <c:v>228.21</c:v>
                </c:pt>
                <c:pt idx="50">
                  <c:v>228.51</c:v>
                </c:pt>
                <c:pt idx="51">
                  <c:v>228.2</c:v>
                </c:pt>
                <c:pt idx="52">
                  <c:v>228.46</c:v>
                </c:pt>
                <c:pt idx="53">
                  <c:v>227.8</c:v>
                </c:pt>
                <c:pt idx="54">
                  <c:v>228.53</c:v>
                </c:pt>
                <c:pt idx="55">
                  <c:v>228.5</c:v>
                </c:pt>
                <c:pt idx="56">
                  <c:v>227.45</c:v>
                </c:pt>
                <c:pt idx="57">
                  <c:v>228.39</c:v>
                </c:pt>
                <c:pt idx="58">
                  <c:v>228.89</c:v>
                </c:pt>
                <c:pt idx="59">
                  <c:v>228.41</c:v>
                </c:pt>
                <c:pt idx="60">
                  <c:v>226.93</c:v>
                </c:pt>
                <c:pt idx="61">
                  <c:v>227.77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537472"/>
        <c:axId val="78539392"/>
      </c:lineChart>
      <c:catAx>
        <c:axId val="78537472"/>
        <c:scaling>
          <c:orientation val="minMax"/>
        </c:scaling>
        <c:delete val="1"/>
        <c:axPos val="b"/>
        <c:majorTickMark val="out"/>
        <c:minorTickMark val="none"/>
        <c:tickLblPos val="nextTo"/>
        <c:crossAx val="78539392"/>
        <c:crosses val="autoZero"/>
        <c:auto val="0"/>
        <c:lblAlgn val="ctr"/>
        <c:lblOffset val="100"/>
        <c:noMultiLvlLbl val="1"/>
      </c:catAx>
      <c:valAx>
        <c:axId val="785393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8537472"/>
        <c:crosses val="autoZero"/>
        <c:crossBetween val="midCat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nominal</c:v>
          </c:tx>
          <c:spPr>
            <a:ln>
              <a:solidFill>
                <a:srgbClr val="92D050"/>
              </a:solidFill>
            </a:ln>
          </c:spPr>
          <c:marker>
            <c:symbol val="none"/>
          </c:marker>
          <c:cat>
            <c:multiLvlStrRef>
              <c:f>[0]!G8_XValues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[0]!G8_Nominal</c:f>
              <c:numCache>
                <c:formatCode>General</c:formatCode>
                <c:ptCount val="62"/>
                <c:pt idx="0">
                  <c:v>449</c:v>
                </c:pt>
                <c:pt idx="1">
                  <c:v>449</c:v>
                </c:pt>
                <c:pt idx="2">
                  <c:v>449</c:v>
                </c:pt>
                <c:pt idx="3">
                  <c:v>449</c:v>
                </c:pt>
                <c:pt idx="4">
                  <c:v>449</c:v>
                </c:pt>
                <c:pt idx="5">
                  <c:v>449</c:v>
                </c:pt>
                <c:pt idx="6">
                  <c:v>449</c:v>
                </c:pt>
                <c:pt idx="7">
                  <c:v>449</c:v>
                </c:pt>
                <c:pt idx="8">
                  <c:v>449</c:v>
                </c:pt>
                <c:pt idx="9">
                  <c:v>449</c:v>
                </c:pt>
                <c:pt idx="10">
                  <c:v>449</c:v>
                </c:pt>
                <c:pt idx="11">
                  <c:v>449</c:v>
                </c:pt>
                <c:pt idx="12">
                  <c:v>449</c:v>
                </c:pt>
                <c:pt idx="13">
                  <c:v>449</c:v>
                </c:pt>
                <c:pt idx="14">
                  <c:v>449</c:v>
                </c:pt>
                <c:pt idx="15">
                  <c:v>449</c:v>
                </c:pt>
                <c:pt idx="16">
                  <c:v>449</c:v>
                </c:pt>
                <c:pt idx="17">
                  <c:v>449</c:v>
                </c:pt>
                <c:pt idx="18">
                  <c:v>449</c:v>
                </c:pt>
                <c:pt idx="19">
                  <c:v>449</c:v>
                </c:pt>
                <c:pt idx="20">
                  <c:v>449</c:v>
                </c:pt>
                <c:pt idx="21">
                  <c:v>449</c:v>
                </c:pt>
                <c:pt idx="22">
                  <c:v>449</c:v>
                </c:pt>
                <c:pt idx="23">
                  <c:v>449</c:v>
                </c:pt>
                <c:pt idx="24">
                  <c:v>449</c:v>
                </c:pt>
                <c:pt idx="25">
                  <c:v>449</c:v>
                </c:pt>
                <c:pt idx="26">
                  <c:v>449</c:v>
                </c:pt>
                <c:pt idx="27">
                  <c:v>449</c:v>
                </c:pt>
                <c:pt idx="28">
                  <c:v>449</c:v>
                </c:pt>
                <c:pt idx="29">
                  <c:v>449</c:v>
                </c:pt>
                <c:pt idx="30">
                  <c:v>449</c:v>
                </c:pt>
                <c:pt idx="31">
                  <c:v>449</c:v>
                </c:pt>
                <c:pt idx="32">
                  <c:v>449</c:v>
                </c:pt>
                <c:pt idx="33">
                  <c:v>449</c:v>
                </c:pt>
                <c:pt idx="34">
                  <c:v>449</c:v>
                </c:pt>
                <c:pt idx="35">
                  <c:v>449</c:v>
                </c:pt>
                <c:pt idx="36">
                  <c:v>449</c:v>
                </c:pt>
                <c:pt idx="37">
                  <c:v>449</c:v>
                </c:pt>
                <c:pt idx="38">
                  <c:v>449</c:v>
                </c:pt>
                <c:pt idx="39">
                  <c:v>449</c:v>
                </c:pt>
                <c:pt idx="40">
                  <c:v>449</c:v>
                </c:pt>
                <c:pt idx="41">
                  <c:v>449</c:v>
                </c:pt>
                <c:pt idx="42">
                  <c:v>449</c:v>
                </c:pt>
                <c:pt idx="43">
                  <c:v>449</c:v>
                </c:pt>
                <c:pt idx="44">
                  <c:v>449</c:v>
                </c:pt>
                <c:pt idx="45">
                  <c:v>449</c:v>
                </c:pt>
                <c:pt idx="46">
                  <c:v>449</c:v>
                </c:pt>
                <c:pt idx="47">
                  <c:v>449</c:v>
                </c:pt>
                <c:pt idx="48">
                  <c:v>449</c:v>
                </c:pt>
                <c:pt idx="49">
                  <c:v>449</c:v>
                </c:pt>
                <c:pt idx="50">
                  <c:v>449</c:v>
                </c:pt>
                <c:pt idx="51">
                  <c:v>449</c:v>
                </c:pt>
                <c:pt idx="52">
                  <c:v>449</c:v>
                </c:pt>
                <c:pt idx="53">
                  <c:v>449</c:v>
                </c:pt>
                <c:pt idx="54">
                  <c:v>449</c:v>
                </c:pt>
                <c:pt idx="55">
                  <c:v>449</c:v>
                </c:pt>
                <c:pt idx="56">
                  <c:v>449</c:v>
                </c:pt>
                <c:pt idx="57">
                  <c:v>449</c:v>
                </c:pt>
                <c:pt idx="58">
                  <c:v>449</c:v>
                </c:pt>
                <c:pt idx="59">
                  <c:v>449</c:v>
                </c:pt>
                <c:pt idx="60">
                  <c:v>449</c:v>
                </c:pt>
                <c:pt idx="61">
                  <c:v>449</c:v>
                </c:pt>
              </c:numCache>
            </c:numRef>
          </c:val>
          <c:smooth val="0"/>
        </c:ser>
        <c:ser>
          <c:idx val="1"/>
          <c:order val="1"/>
          <c:tx>
            <c:v>lie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[0]!G8_XValues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[0]!G8_Lie</c:f>
              <c:numCache>
                <c:formatCode>General</c:formatCode>
                <c:ptCount val="62"/>
                <c:pt idx="0">
                  <c:v>446</c:v>
                </c:pt>
                <c:pt idx="1">
                  <c:v>446</c:v>
                </c:pt>
                <c:pt idx="2">
                  <c:v>446</c:v>
                </c:pt>
                <c:pt idx="3">
                  <c:v>446</c:v>
                </c:pt>
                <c:pt idx="4">
                  <c:v>446</c:v>
                </c:pt>
                <c:pt idx="5">
                  <c:v>446</c:v>
                </c:pt>
                <c:pt idx="6">
                  <c:v>446</c:v>
                </c:pt>
                <c:pt idx="7">
                  <c:v>446</c:v>
                </c:pt>
                <c:pt idx="8">
                  <c:v>446</c:v>
                </c:pt>
                <c:pt idx="9">
                  <c:v>446</c:v>
                </c:pt>
                <c:pt idx="10">
                  <c:v>446</c:v>
                </c:pt>
                <c:pt idx="11">
                  <c:v>446</c:v>
                </c:pt>
                <c:pt idx="12">
                  <c:v>446</c:v>
                </c:pt>
                <c:pt idx="13">
                  <c:v>446</c:v>
                </c:pt>
                <c:pt idx="14">
                  <c:v>446</c:v>
                </c:pt>
                <c:pt idx="15">
                  <c:v>446</c:v>
                </c:pt>
                <c:pt idx="16">
                  <c:v>446</c:v>
                </c:pt>
                <c:pt idx="17">
                  <c:v>446</c:v>
                </c:pt>
                <c:pt idx="18">
                  <c:v>446</c:v>
                </c:pt>
                <c:pt idx="19">
                  <c:v>446</c:v>
                </c:pt>
                <c:pt idx="20">
                  <c:v>446</c:v>
                </c:pt>
                <c:pt idx="21">
                  <c:v>446</c:v>
                </c:pt>
                <c:pt idx="22">
                  <c:v>446</c:v>
                </c:pt>
                <c:pt idx="23">
                  <c:v>446</c:v>
                </c:pt>
                <c:pt idx="24">
                  <c:v>446</c:v>
                </c:pt>
                <c:pt idx="25">
                  <c:v>446</c:v>
                </c:pt>
                <c:pt idx="26">
                  <c:v>446</c:v>
                </c:pt>
                <c:pt idx="27">
                  <c:v>446</c:v>
                </c:pt>
                <c:pt idx="28">
                  <c:v>446</c:v>
                </c:pt>
                <c:pt idx="29">
                  <c:v>446</c:v>
                </c:pt>
                <c:pt idx="30">
                  <c:v>446</c:v>
                </c:pt>
                <c:pt idx="31">
                  <c:v>446</c:v>
                </c:pt>
                <c:pt idx="32">
                  <c:v>446</c:v>
                </c:pt>
                <c:pt idx="33">
                  <c:v>446</c:v>
                </c:pt>
                <c:pt idx="34">
                  <c:v>446</c:v>
                </c:pt>
                <c:pt idx="35">
                  <c:v>446</c:v>
                </c:pt>
                <c:pt idx="36">
                  <c:v>446</c:v>
                </c:pt>
                <c:pt idx="37">
                  <c:v>446</c:v>
                </c:pt>
                <c:pt idx="38">
                  <c:v>446</c:v>
                </c:pt>
                <c:pt idx="39">
                  <c:v>446</c:v>
                </c:pt>
                <c:pt idx="40">
                  <c:v>446</c:v>
                </c:pt>
                <c:pt idx="41">
                  <c:v>446</c:v>
                </c:pt>
                <c:pt idx="42">
                  <c:v>446</c:v>
                </c:pt>
                <c:pt idx="43">
                  <c:v>446</c:v>
                </c:pt>
                <c:pt idx="44">
                  <c:v>446</c:v>
                </c:pt>
                <c:pt idx="45">
                  <c:v>446</c:v>
                </c:pt>
                <c:pt idx="46">
                  <c:v>446</c:v>
                </c:pt>
                <c:pt idx="47">
                  <c:v>446</c:v>
                </c:pt>
                <c:pt idx="48">
                  <c:v>446</c:v>
                </c:pt>
                <c:pt idx="49">
                  <c:v>446</c:v>
                </c:pt>
                <c:pt idx="50">
                  <c:v>446</c:v>
                </c:pt>
                <c:pt idx="51">
                  <c:v>446</c:v>
                </c:pt>
                <c:pt idx="52">
                  <c:v>446</c:v>
                </c:pt>
                <c:pt idx="53">
                  <c:v>446</c:v>
                </c:pt>
                <c:pt idx="54">
                  <c:v>446</c:v>
                </c:pt>
                <c:pt idx="55">
                  <c:v>446</c:v>
                </c:pt>
                <c:pt idx="56">
                  <c:v>446</c:v>
                </c:pt>
                <c:pt idx="57">
                  <c:v>446</c:v>
                </c:pt>
                <c:pt idx="58">
                  <c:v>446</c:v>
                </c:pt>
                <c:pt idx="59">
                  <c:v>446</c:v>
                </c:pt>
                <c:pt idx="60">
                  <c:v>446</c:v>
                </c:pt>
                <c:pt idx="61">
                  <c:v>446</c:v>
                </c:pt>
              </c:numCache>
            </c:numRef>
          </c:val>
          <c:smooth val="0"/>
        </c:ser>
        <c:ser>
          <c:idx val="2"/>
          <c:order val="2"/>
          <c:tx>
            <c:v>lse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[0]!G8_XValues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[0]!G8_Lse</c:f>
              <c:numCache>
                <c:formatCode>General</c:formatCode>
                <c:ptCount val="62"/>
                <c:pt idx="0">
                  <c:v>452</c:v>
                </c:pt>
                <c:pt idx="1">
                  <c:v>452</c:v>
                </c:pt>
                <c:pt idx="2">
                  <c:v>452</c:v>
                </c:pt>
                <c:pt idx="3">
                  <c:v>452</c:v>
                </c:pt>
                <c:pt idx="4">
                  <c:v>452</c:v>
                </c:pt>
                <c:pt idx="5">
                  <c:v>452</c:v>
                </c:pt>
                <c:pt idx="6">
                  <c:v>452</c:v>
                </c:pt>
                <c:pt idx="7">
                  <c:v>452</c:v>
                </c:pt>
                <c:pt idx="8">
                  <c:v>452</c:v>
                </c:pt>
                <c:pt idx="9">
                  <c:v>452</c:v>
                </c:pt>
                <c:pt idx="10">
                  <c:v>452</c:v>
                </c:pt>
                <c:pt idx="11">
                  <c:v>452</c:v>
                </c:pt>
                <c:pt idx="12">
                  <c:v>452</c:v>
                </c:pt>
                <c:pt idx="13">
                  <c:v>452</c:v>
                </c:pt>
                <c:pt idx="14">
                  <c:v>452</c:v>
                </c:pt>
                <c:pt idx="15">
                  <c:v>452</c:v>
                </c:pt>
                <c:pt idx="16">
                  <c:v>452</c:v>
                </c:pt>
                <c:pt idx="17">
                  <c:v>452</c:v>
                </c:pt>
                <c:pt idx="18">
                  <c:v>452</c:v>
                </c:pt>
                <c:pt idx="19">
                  <c:v>452</c:v>
                </c:pt>
                <c:pt idx="20">
                  <c:v>452</c:v>
                </c:pt>
                <c:pt idx="21">
                  <c:v>452</c:v>
                </c:pt>
                <c:pt idx="22">
                  <c:v>452</c:v>
                </c:pt>
                <c:pt idx="23">
                  <c:v>452</c:v>
                </c:pt>
                <c:pt idx="24">
                  <c:v>452</c:v>
                </c:pt>
                <c:pt idx="25">
                  <c:v>452</c:v>
                </c:pt>
                <c:pt idx="26">
                  <c:v>452</c:v>
                </c:pt>
                <c:pt idx="27">
                  <c:v>452</c:v>
                </c:pt>
                <c:pt idx="28">
                  <c:v>452</c:v>
                </c:pt>
                <c:pt idx="29">
                  <c:v>452</c:v>
                </c:pt>
                <c:pt idx="30">
                  <c:v>452</c:v>
                </c:pt>
                <c:pt idx="31">
                  <c:v>452</c:v>
                </c:pt>
                <c:pt idx="32">
                  <c:v>452</c:v>
                </c:pt>
                <c:pt idx="33">
                  <c:v>452</c:v>
                </c:pt>
                <c:pt idx="34">
                  <c:v>452</c:v>
                </c:pt>
                <c:pt idx="35">
                  <c:v>452</c:v>
                </c:pt>
                <c:pt idx="36">
                  <c:v>452</c:v>
                </c:pt>
                <c:pt idx="37">
                  <c:v>452</c:v>
                </c:pt>
                <c:pt idx="38">
                  <c:v>452</c:v>
                </c:pt>
                <c:pt idx="39">
                  <c:v>452</c:v>
                </c:pt>
                <c:pt idx="40">
                  <c:v>452</c:v>
                </c:pt>
                <c:pt idx="41">
                  <c:v>452</c:v>
                </c:pt>
                <c:pt idx="42">
                  <c:v>452</c:v>
                </c:pt>
                <c:pt idx="43">
                  <c:v>452</c:v>
                </c:pt>
                <c:pt idx="44">
                  <c:v>452</c:v>
                </c:pt>
                <c:pt idx="45">
                  <c:v>452</c:v>
                </c:pt>
                <c:pt idx="46">
                  <c:v>452</c:v>
                </c:pt>
                <c:pt idx="47">
                  <c:v>452</c:v>
                </c:pt>
                <c:pt idx="48">
                  <c:v>452</c:v>
                </c:pt>
                <c:pt idx="49">
                  <c:v>452</c:v>
                </c:pt>
                <c:pt idx="50">
                  <c:v>452</c:v>
                </c:pt>
                <c:pt idx="51">
                  <c:v>452</c:v>
                </c:pt>
                <c:pt idx="52">
                  <c:v>452</c:v>
                </c:pt>
                <c:pt idx="53">
                  <c:v>452</c:v>
                </c:pt>
                <c:pt idx="54">
                  <c:v>452</c:v>
                </c:pt>
                <c:pt idx="55">
                  <c:v>452</c:v>
                </c:pt>
                <c:pt idx="56">
                  <c:v>452</c:v>
                </c:pt>
                <c:pt idx="57">
                  <c:v>452</c:v>
                </c:pt>
                <c:pt idx="58">
                  <c:v>452</c:v>
                </c:pt>
                <c:pt idx="59">
                  <c:v>452</c:v>
                </c:pt>
                <c:pt idx="60">
                  <c:v>452</c:v>
                </c:pt>
                <c:pt idx="61">
                  <c:v>452</c:v>
                </c:pt>
              </c:numCache>
            </c:numRef>
          </c:val>
          <c:smooth val="0"/>
        </c:ser>
        <c:ser>
          <c:idx val="3"/>
          <c:order val="3"/>
          <c:tx>
            <c:v>data</c:v>
          </c:tx>
          <c:spPr>
            <a:ln>
              <a:solidFill>
                <a:schemeClr val="accent1"/>
              </a:solidFill>
            </a:ln>
          </c:spPr>
          <c:marker>
            <c:symbol val="circle"/>
            <c:size val="4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cat>
            <c:multiLvlStrRef>
              <c:f>[0]!G8_XValues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[0]!G8_Data</c:f>
              <c:numCache>
                <c:formatCode>General</c:formatCode>
                <c:ptCount val="62"/>
                <c:pt idx="0">
                  <c:v>450.25</c:v>
                </c:pt>
                <c:pt idx="1">
                  <c:v>448.85</c:v>
                </c:pt>
                <c:pt idx="2">
                  <c:v>449.84</c:v>
                </c:pt>
                <c:pt idx="3">
                  <c:v>449.7</c:v>
                </c:pt>
                <c:pt idx="4">
                  <c:v>449.4</c:v>
                </c:pt>
                <c:pt idx="5">
                  <c:v>449.1</c:v>
                </c:pt>
                <c:pt idx="6">
                  <c:v>450.3</c:v>
                </c:pt>
                <c:pt idx="7">
                  <c:v>449.4</c:v>
                </c:pt>
                <c:pt idx="8">
                  <c:v>450.2</c:v>
                </c:pt>
                <c:pt idx="9">
                  <c:v>451.11</c:v>
                </c:pt>
                <c:pt idx="10">
                  <c:v>448.74</c:v>
                </c:pt>
                <c:pt idx="11">
                  <c:v>448.55</c:v>
                </c:pt>
                <c:pt idx="12">
                  <c:v>450.51</c:v>
                </c:pt>
                <c:pt idx="13">
                  <c:v>450.64</c:v>
                </c:pt>
                <c:pt idx="14">
                  <c:v>448.88</c:v>
                </c:pt>
                <c:pt idx="15">
                  <c:v>448.42</c:v>
                </c:pt>
                <c:pt idx="16">
                  <c:v>448.44</c:v>
                </c:pt>
                <c:pt idx="17">
                  <c:v>449.6</c:v>
                </c:pt>
                <c:pt idx="18">
                  <c:v>449.9</c:v>
                </c:pt>
                <c:pt idx="19">
                  <c:v>448.7</c:v>
                </c:pt>
                <c:pt idx="20">
                  <c:v>448.3</c:v>
                </c:pt>
                <c:pt idx="21">
                  <c:v>450.95</c:v>
                </c:pt>
                <c:pt idx="22">
                  <c:v>449.1</c:v>
                </c:pt>
                <c:pt idx="23">
                  <c:v>449.5</c:v>
                </c:pt>
                <c:pt idx="24">
                  <c:v>449.6</c:v>
                </c:pt>
                <c:pt idx="25">
                  <c:v>448.39</c:v>
                </c:pt>
                <c:pt idx="26">
                  <c:v>449.66</c:v>
                </c:pt>
                <c:pt idx="27">
                  <c:v>449.56</c:v>
                </c:pt>
                <c:pt idx="28">
                  <c:v>449.06</c:v>
                </c:pt>
                <c:pt idx="29">
                  <c:v>449.39</c:v>
                </c:pt>
                <c:pt idx="30">
                  <c:v>448.9</c:v>
                </c:pt>
                <c:pt idx="31">
                  <c:v>448.99</c:v>
                </c:pt>
                <c:pt idx="32">
                  <c:v>449.3</c:v>
                </c:pt>
                <c:pt idx="33">
                  <c:v>450.06</c:v>
                </c:pt>
                <c:pt idx="34">
                  <c:v>449.8</c:v>
                </c:pt>
                <c:pt idx="35">
                  <c:v>449.74</c:v>
                </c:pt>
                <c:pt idx="36">
                  <c:v>449.66</c:v>
                </c:pt>
                <c:pt idx="37">
                  <c:v>449.5</c:v>
                </c:pt>
                <c:pt idx="38">
                  <c:v>450.23</c:v>
                </c:pt>
                <c:pt idx="39">
                  <c:v>450.03</c:v>
                </c:pt>
                <c:pt idx="40">
                  <c:v>449.73</c:v>
                </c:pt>
                <c:pt idx="41">
                  <c:v>451.65</c:v>
                </c:pt>
                <c:pt idx="42">
                  <c:v>450.6</c:v>
                </c:pt>
                <c:pt idx="43">
                  <c:v>450.31</c:v>
                </c:pt>
                <c:pt idx="44">
                  <c:v>449.5</c:v>
                </c:pt>
                <c:pt idx="45">
                  <c:v>450.59</c:v>
                </c:pt>
                <c:pt idx="46">
                  <c:v>449.89</c:v>
                </c:pt>
                <c:pt idx="47">
                  <c:v>449.56</c:v>
                </c:pt>
                <c:pt idx="48">
                  <c:v>449.15</c:v>
                </c:pt>
                <c:pt idx="49">
                  <c:v>450.33</c:v>
                </c:pt>
                <c:pt idx="50">
                  <c:v>450.92</c:v>
                </c:pt>
                <c:pt idx="51">
                  <c:v>450.35</c:v>
                </c:pt>
                <c:pt idx="52">
                  <c:v>450.06</c:v>
                </c:pt>
                <c:pt idx="53">
                  <c:v>449.17</c:v>
                </c:pt>
                <c:pt idx="54">
                  <c:v>449.85</c:v>
                </c:pt>
                <c:pt idx="55">
                  <c:v>449.64</c:v>
                </c:pt>
                <c:pt idx="56">
                  <c:v>449.1</c:v>
                </c:pt>
                <c:pt idx="57">
                  <c:v>449.9</c:v>
                </c:pt>
                <c:pt idx="58">
                  <c:v>450.23</c:v>
                </c:pt>
                <c:pt idx="59">
                  <c:v>450.99</c:v>
                </c:pt>
                <c:pt idx="60">
                  <c:v>450.03</c:v>
                </c:pt>
                <c:pt idx="61">
                  <c:v>448.84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602240"/>
        <c:axId val="78604160"/>
      </c:lineChart>
      <c:catAx>
        <c:axId val="78602240"/>
        <c:scaling>
          <c:orientation val="minMax"/>
        </c:scaling>
        <c:delete val="1"/>
        <c:axPos val="b"/>
        <c:majorTickMark val="out"/>
        <c:minorTickMark val="none"/>
        <c:tickLblPos val="nextTo"/>
        <c:crossAx val="78604160"/>
        <c:crosses val="autoZero"/>
        <c:auto val="0"/>
        <c:lblAlgn val="ctr"/>
        <c:lblOffset val="100"/>
        <c:noMultiLvlLbl val="1"/>
      </c:catAx>
      <c:valAx>
        <c:axId val="786041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8602240"/>
        <c:crosses val="autoZero"/>
        <c:crossBetween val="midCat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nominal</c:v>
          </c:tx>
          <c:spPr>
            <a:ln>
              <a:solidFill>
                <a:srgbClr val="92D050"/>
              </a:solidFill>
            </a:ln>
          </c:spPr>
          <c:marker>
            <c:symbol val="none"/>
          </c:marker>
          <c:cat>
            <c:multiLvlStrRef>
              <c:f>[0]!G9_XValues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[0]!G9_Nominal</c:f>
              <c:numCache>
                <c:formatCode>General</c:formatCode>
                <c:ptCount val="62"/>
                <c:pt idx="0">
                  <c:v>1052.3</c:v>
                </c:pt>
                <c:pt idx="1">
                  <c:v>1052.3</c:v>
                </c:pt>
                <c:pt idx="2">
                  <c:v>1052.3</c:v>
                </c:pt>
                <c:pt idx="3">
                  <c:v>1052.3</c:v>
                </c:pt>
                <c:pt idx="4">
                  <c:v>1052.3</c:v>
                </c:pt>
                <c:pt idx="5">
                  <c:v>1052.3</c:v>
                </c:pt>
                <c:pt idx="6">
                  <c:v>1052.3</c:v>
                </c:pt>
                <c:pt idx="7">
                  <c:v>1052.3</c:v>
                </c:pt>
                <c:pt idx="8">
                  <c:v>1052.3</c:v>
                </c:pt>
                <c:pt idx="9">
                  <c:v>1052.3</c:v>
                </c:pt>
                <c:pt idx="10">
                  <c:v>1052.3</c:v>
                </c:pt>
                <c:pt idx="11">
                  <c:v>1052.3</c:v>
                </c:pt>
                <c:pt idx="12">
                  <c:v>1052.3</c:v>
                </c:pt>
                <c:pt idx="13">
                  <c:v>1052.3</c:v>
                </c:pt>
                <c:pt idx="14">
                  <c:v>1052.3</c:v>
                </c:pt>
                <c:pt idx="15">
                  <c:v>1052.3</c:v>
                </c:pt>
                <c:pt idx="16">
                  <c:v>1052.3</c:v>
                </c:pt>
                <c:pt idx="17">
                  <c:v>1052.3</c:v>
                </c:pt>
                <c:pt idx="18">
                  <c:v>1052.3</c:v>
                </c:pt>
                <c:pt idx="19">
                  <c:v>1052.3</c:v>
                </c:pt>
                <c:pt idx="20">
                  <c:v>1052.3</c:v>
                </c:pt>
                <c:pt idx="21">
                  <c:v>1052.3</c:v>
                </c:pt>
                <c:pt idx="22">
                  <c:v>1052.3</c:v>
                </c:pt>
                <c:pt idx="23">
                  <c:v>1052.3</c:v>
                </c:pt>
                <c:pt idx="24">
                  <c:v>1052.3</c:v>
                </c:pt>
                <c:pt idx="25">
                  <c:v>1052.3</c:v>
                </c:pt>
                <c:pt idx="26">
                  <c:v>1052.3</c:v>
                </c:pt>
                <c:pt idx="27">
                  <c:v>1052.3</c:v>
                </c:pt>
                <c:pt idx="28">
                  <c:v>1052.3</c:v>
                </c:pt>
                <c:pt idx="29">
                  <c:v>1052.3</c:v>
                </c:pt>
                <c:pt idx="30">
                  <c:v>1052.3</c:v>
                </c:pt>
                <c:pt idx="31">
                  <c:v>1052.3</c:v>
                </c:pt>
                <c:pt idx="32">
                  <c:v>1052.3</c:v>
                </c:pt>
                <c:pt idx="33">
                  <c:v>1052.3</c:v>
                </c:pt>
                <c:pt idx="34">
                  <c:v>1052.3</c:v>
                </c:pt>
                <c:pt idx="35">
                  <c:v>1052.3</c:v>
                </c:pt>
                <c:pt idx="36">
                  <c:v>1052.3</c:v>
                </c:pt>
                <c:pt idx="37">
                  <c:v>1052.3</c:v>
                </c:pt>
                <c:pt idx="38">
                  <c:v>1052.3</c:v>
                </c:pt>
                <c:pt idx="39">
                  <c:v>1052.3</c:v>
                </c:pt>
                <c:pt idx="40">
                  <c:v>1052.3</c:v>
                </c:pt>
                <c:pt idx="41">
                  <c:v>1052.3</c:v>
                </c:pt>
                <c:pt idx="42">
                  <c:v>1052.3</c:v>
                </c:pt>
                <c:pt idx="43">
                  <c:v>1052.3</c:v>
                </c:pt>
                <c:pt idx="44">
                  <c:v>1052.3</c:v>
                </c:pt>
                <c:pt idx="45">
                  <c:v>1052.3</c:v>
                </c:pt>
                <c:pt idx="46">
                  <c:v>1052.3</c:v>
                </c:pt>
                <c:pt idx="47">
                  <c:v>1052.3</c:v>
                </c:pt>
                <c:pt idx="48">
                  <c:v>1052.3</c:v>
                </c:pt>
                <c:pt idx="49">
                  <c:v>1052.3</c:v>
                </c:pt>
                <c:pt idx="50">
                  <c:v>1052.3</c:v>
                </c:pt>
                <c:pt idx="51">
                  <c:v>1052.3</c:v>
                </c:pt>
                <c:pt idx="52">
                  <c:v>1052.3</c:v>
                </c:pt>
                <c:pt idx="53">
                  <c:v>1052.3</c:v>
                </c:pt>
                <c:pt idx="54">
                  <c:v>1052.3</c:v>
                </c:pt>
                <c:pt idx="55">
                  <c:v>1052.3</c:v>
                </c:pt>
                <c:pt idx="56">
                  <c:v>1052.3</c:v>
                </c:pt>
                <c:pt idx="57">
                  <c:v>1052.3</c:v>
                </c:pt>
                <c:pt idx="58">
                  <c:v>1052.3</c:v>
                </c:pt>
                <c:pt idx="59">
                  <c:v>1052.3</c:v>
                </c:pt>
                <c:pt idx="60">
                  <c:v>1052.3</c:v>
                </c:pt>
                <c:pt idx="61">
                  <c:v>1052.3</c:v>
                </c:pt>
              </c:numCache>
            </c:numRef>
          </c:val>
          <c:smooth val="0"/>
        </c:ser>
        <c:ser>
          <c:idx val="1"/>
          <c:order val="1"/>
          <c:tx>
            <c:v>lie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[0]!G9_XValues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[0]!G9_Lie</c:f>
              <c:numCache>
                <c:formatCode>General</c:formatCode>
                <c:ptCount val="62"/>
                <c:pt idx="0">
                  <c:v>1049.3</c:v>
                </c:pt>
                <c:pt idx="1">
                  <c:v>1049.3</c:v>
                </c:pt>
                <c:pt idx="2">
                  <c:v>1049.3</c:v>
                </c:pt>
                <c:pt idx="3">
                  <c:v>1049.3</c:v>
                </c:pt>
                <c:pt idx="4">
                  <c:v>1049.3</c:v>
                </c:pt>
                <c:pt idx="5">
                  <c:v>1049.3</c:v>
                </c:pt>
                <c:pt idx="6">
                  <c:v>1049.3</c:v>
                </c:pt>
                <c:pt idx="7">
                  <c:v>1049.3</c:v>
                </c:pt>
                <c:pt idx="8">
                  <c:v>1049.3</c:v>
                </c:pt>
                <c:pt idx="9">
                  <c:v>1049.3</c:v>
                </c:pt>
                <c:pt idx="10">
                  <c:v>1049.3</c:v>
                </c:pt>
                <c:pt idx="11">
                  <c:v>1049.3</c:v>
                </c:pt>
                <c:pt idx="12">
                  <c:v>1049.3</c:v>
                </c:pt>
                <c:pt idx="13">
                  <c:v>1049.3</c:v>
                </c:pt>
                <c:pt idx="14">
                  <c:v>1049.3</c:v>
                </c:pt>
                <c:pt idx="15">
                  <c:v>1049.3</c:v>
                </c:pt>
                <c:pt idx="16">
                  <c:v>1049.3</c:v>
                </c:pt>
                <c:pt idx="17">
                  <c:v>1049.3</c:v>
                </c:pt>
                <c:pt idx="18">
                  <c:v>1049.3</c:v>
                </c:pt>
                <c:pt idx="19">
                  <c:v>1049.3</c:v>
                </c:pt>
                <c:pt idx="20">
                  <c:v>1049.3</c:v>
                </c:pt>
                <c:pt idx="21">
                  <c:v>1049.3</c:v>
                </c:pt>
                <c:pt idx="22">
                  <c:v>1049.3</c:v>
                </c:pt>
                <c:pt idx="23">
                  <c:v>1049.3</c:v>
                </c:pt>
                <c:pt idx="24">
                  <c:v>1049.3</c:v>
                </c:pt>
                <c:pt idx="25">
                  <c:v>1049.3</c:v>
                </c:pt>
                <c:pt idx="26">
                  <c:v>1049.3</c:v>
                </c:pt>
                <c:pt idx="27">
                  <c:v>1049.3</c:v>
                </c:pt>
                <c:pt idx="28">
                  <c:v>1049.3</c:v>
                </c:pt>
                <c:pt idx="29">
                  <c:v>1049.3</c:v>
                </c:pt>
                <c:pt idx="30">
                  <c:v>1049.3</c:v>
                </c:pt>
                <c:pt idx="31">
                  <c:v>1049.3</c:v>
                </c:pt>
                <c:pt idx="32">
                  <c:v>1049.3</c:v>
                </c:pt>
                <c:pt idx="33">
                  <c:v>1049.3</c:v>
                </c:pt>
                <c:pt idx="34">
                  <c:v>1049.3</c:v>
                </c:pt>
                <c:pt idx="35">
                  <c:v>1049.3</c:v>
                </c:pt>
                <c:pt idx="36">
                  <c:v>1049.3</c:v>
                </c:pt>
                <c:pt idx="37">
                  <c:v>1049.3</c:v>
                </c:pt>
                <c:pt idx="38">
                  <c:v>1049.3</c:v>
                </c:pt>
                <c:pt idx="39">
                  <c:v>1049.3</c:v>
                </c:pt>
                <c:pt idx="40">
                  <c:v>1049.3</c:v>
                </c:pt>
                <c:pt idx="41">
                  <c:v>1049.3</c:v>
                </c:pt>
                <c:pt idx="42">
                  <c:v>1049.3</c:v>
                </c:pt>
                <c:pt idx="43">
                  <c:v>1049.3</c:v>
                </c:pt>
                <c:pt idx="44">
                  <c:v>1049.3</c:v>
                </c:pt>
                <c:pt idx="45">
                  <c:v>1049.3</c:v>
                </c:pt>
                <c:pt idx="46">
                  <c:v>1049.3</c:v>
                </c:pt>
                <c:pt idx="47">
                  <c:v>1049.3</c:v>
                </c:pt>
                <c:pt idx="48">
                  <c:v>1049.3</c:v>
                </c:pt>
                <c:pt idx="49">
                  <c:v>1049.3</c:v>
                </c:pt>
                <c:pt idx="50">
                  <c:v>1049.3</c:v>
                </c:pt>
                <c:pt idx="51">
                  <c:v>1049.3</c:v>
                </c:pt>
                <c:pt idx="52">
                  <c:v>1049.3</c:v>
                </c:pt>
                <c:pt idx="53">
                  <c:v>1049.3</c:v>
                </c:pt>
                <c:pt idx="54">
                  <c:v>1049.3</c:v>
                </c:pt>
                <c:pt idx="55">
                  <c:v>1049.3</c:v>
                </c:pt>
                <c:pt idx="56">
                  <c:v>1049.3</c:v>
                </c:pt>
                <c:pt idx="57">
                  <c:v>1049.3</c:v>
                </c:pt>
                <c:pt idx="58">
                  <c:v>1049.3</c:v>
                </c:pt>
                <c:pt idx="59">
                  <c:v>1049.3</c:v>
                </c:pt>
                <c:pt idx="60">
                  <c:v>1049.3</c:v>
                </c:pt>
                <c:pt idx="61">
                  <c:v>1049.3</c:v>
                </c:pt>
              </c:numCache>
            </c:numRef>
          </c:val>
          <c:smooth val="0"/>
        </c:ser>
        <c:ser>
          <c:idx val="2"/>
          <c:order val="2"/>
          <c:tx>
            <c:v>lse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[0]!G9_XValues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[0]!G9_Lse</c:f>
              <c:numCache>
                <c:formatCode>General</c:formatCode>
                <c:ptCount val="62"/>
                <c:pt idx="0">
                  <c:v>1055.3</c:v>
                </c:pt>
                <c:pt idx="1">
                  <c:v>1055.3</c:v>
                </c:pt>
                <c:pt idx="2">
                  <c:v>1055.3</c:v>
                </c:pt>
                <c:pt idx="3">
                  <c:v>1055.3</c:v>
                </c:pt>
                <c:pt idx="4">
                  <c:v>1055.3</c:v>
                </c:pt>
                <c:pt idx="5">
                  <c:v>1055.3</c:v>
                </c:pt>
                <c:pt idx="6">
                  <c:v>1055.3</c:v>
                </c:pt>
                <c:pt idx="7">
                  <c:v>1055.3</c:v>
                </c:pt>
                <c:pt idx="8">
                  <c:v>1055.3</c:v>
                </c:pt>
                <c:pt idx="9">
                  <c:v>1055.3</c:v>
                </c:pt>
                <c:pt idx="10">
                  <c:v>1055.3</c:v>
                </c:pt>
                <c:pt idx="11">
                  <c:v>1055.3</c:v>
                </c:pt>
                <c:pt idx="12">
                  <c:v>1055.3</c:v>
                </c:pt>
                <c:pt idx="13">
                  <c:v>1055.3</c:v>
                </c:pt>
                <c:pt idx="14">
                  <c:v>1055.3</c:v>
                </c:pt>
                <c:pt idx="15">
                  <c:v>1055.3</c:v>
                </c:pt>
                <c:pt idx="16">
                  <c:v>1055.3</c:v>
                </c:pt>
                <c:pt idx="17">
                  <c:v>1055.3</c:v>
                </c:pt>
                <c:pt idx="18">
                  <c:v>1055.3</c:v>
                </c:pt>
                <c:pt idx="19">
                  <c:v>1055.3</c:v>
                </c:pt>
                <c:pt idx="20">
                  <c:v>1055.3</c:v>
                </c:pt>
                <c:pt idx="21">
                  <c:v>1055.3</c:v>
                </c:pt>
                <c:pt idx="22">
                  <c:v>1055.3</c:v>
                </c:pt>
                <c:pt idx="23">
                  <c:v>1055.3</c:v>
                </c:pt>
                <c:pt idx="24">
                  <c:v>1055.3</c:v>
                </c:pt>
                <c:pt idx="25">
                  <c:v>1055.3</c:v>
                </c:pt>
                <c:pt idx="26">
                  <c:v>1055.3</c:v>
                </c:pt>
                <c:pt idx="27">
                  <c:v>1055.3</c:v>
                </c:pt>
                <c:pt idx="28">
                  <c:v>1055.3</c:v>
                </c:pt>
                <c:pt idx="29">
                  <c:v>1055.3</c:v>
                </c:pt>
                <c:pt idx="30">
                  <c:v>1055.3</c:v>
                </c:pt>
                <c:pt idx="31">
                  <c:v>1055.3</c:v>
                </c:pt>
                <c:pt idx="32">
                  <c:v>1055.3</c:v>
                </c:pt>
                <c:pt idx="33">
                  <c:v>1055.3</c:v>
                </c:pt>
                <c:pt idx="34">
                  <c:v>1055.3</c:v>
                </c:pt>
                <c:pt idx="35">
                  <c:v>1055.3</c:v>
                </c:pt>
                <c:pt idx="36">
                  <c:v>1055.3</c:v>
                </c:pt>
                <c:pt idx="37">
                  <c:v>1055.3</c:v>
                </c:pt>
                <c:pt idx="38">
                  <c:v>1055.3</c:v>
                </c:pt>
                <c:pt idx="39">
                  <c:v>1055.3</c:v>
                </c:pt>
                <c:pt idx="40">
                  <c:v>1055.3</c:v>
                </c:pt>
                <c:pt idx="41">
                  <c:v>1055.3</c:v>
                </c:pt>
                <c:pt idx="42">
                  <c:v>1055.3</c:v>
                </c:pt>
                <c:pt idx="43">
                  <c:v>1055.3</c:v>
                </c:pt>
                <c:pt idx="44">
                  <c:v>1055.3</c:v>
                </c:pt>
                <c:pt idx="45">
                  <c:v>1055.3</c:v>
                </c:pt>
                <c:pt idx="46">
                  <c:v>1055.3</c:v>
                </c:pt>
                <c:pt idx="47">
                  <c:v>1055.3</c:v>
                </c:pt>
                <c:pt idx="48">
                  <c:v>1055.3</c:v>
                </c:pt>
                <c:pt idx="49">
                  <c:v>1055.3</c:v>
                </c:pt>
                <c:pt idx="50">
                  <c:v>1055.3</c:v>
                </c:pt>
                <c:pt idx="51">
                  <c:v>1055.3</c:v>
                </c:pt>
                <c:pt idx="52">
                  <c:v>1055.3</c:v>
                </c:pt>
                <c:pt idx="53">
                  <c:v>1055.3</c:v>
                </c:pt>
                <c:pt idx="54">
                  <c:v>1055.3</c:v>
                </c:pt>
                <c:pt idx="55">
                  <c:v>1055.3</c:v>
                </c:pt>
                <c:pt idx="56">
                  <c:v>1055.3</c:v>
                </c:pt>
                <c:pt idx="57">
                  <c:v>1055.3</c:v>
                </c:pt>
                <c:pt idx="58">
                  <c:v>1055.3</c:v>
                </c:pt>
                <c:pt idx="59">
                  <c:v>1055.3</c:v>
                </c:pt>
                <c:pt idx="60">
                  <c:v>1055.3</c:v>
                </c:pt>
                <c:pt idx="61">
                  <c:v>1055.3</c:v>
                </c:pt>
              </c:numCache>
            </c:numRef>
          </c:val>
          <c:smooth val="0"/>
        </c:ser>
        <c:ser>
          <c:idx val="3"/>
          <c:order val="3"/>
          <c:tx>
            <c:v>data</c:v>
          </c:tx>
          <c:spPr>
            <a:ln>
              <a:solidFill>
                <a:schemeClr val="accent1"/>
              </a:solidFill>
            </a:ln>
          </c:spPr>
          <c:marker>
            <c:symbol val="circle"/>
            <c:size val="4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cat>
            <c:multiLvlStrRef>
              <c:f>[0]!G9_XValues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[0]!G9_Data</c:f>
              <c:numCache>
                <c:formatCode>General</c:formatCode>
                <c:ptCount val="62"/>
                <c:pt idx="0">
                  <c:v>1051.51</c:v>
                </c:pt>
                <c:pt idx="1">
                  <c:v>1051.3800000000001</c:v>
                </c:pt>
                <c:pt idx="2">
                  <c:v>1051.45</c:v>
                </c:pt>
                <c:pt idx="3">
                  <c:v>1051.9000000000001</c:v>
                </c:pt>
                <c:pt idx="4">
                  <c:v>1051.2</c:v>
                </c:pt>
                <c:pt idx="5">
                  <c:v>1051.8</c:v>
                </c:pt>
                <c:pt idx="6">
                  <c:v>1051.4000000000001</c:v>
                </c:pt>
                <c:pt idx="7">
                  <c:v>1051.8</c:v>
                </c:pt>
                <c:pt idx="8">
                  <c:v>1051.8</c:v>
                </c:pt>
                <c:pt idx="9">
                  <c:v>1051.95</c:v>
                </c:pt>
                <c:pt idx="10">
                  <c:v>1051.21</c:v>
                </c:pt>
                <c:pt idx="11">
                  <c:v>1051.29</c:v>
                </c:pt>
                <c:pt idx="12">
                  <c:v>1050.8499999999999</c:v>
                </c:pt>
                <c:pt idx="13">
                  <c:v>1051.6500000000001</c:v>
                </c:pt>
                <c:pt idx="14">
                  <c:v>1051.2</c:v>
                </c:pt>
                <c:pt idx="15">
                  <c:v>1051.07</c:v>
                </c:pt>
                <c:pt idx="16">
                  <c:v>1050.99</c:v>
                </c:pt>
                <c:pt idx="17">
                  <c:v>1051.42</c:v>
                </c:pt>
                <c:pt idx="18">
                  <c:v>1051.5</c:v>
                </c:pt>
                <c:pt idx="19">
                  <c:v>1051.7</c:v>
                </c:pt>
                <c:pt idx="20">
                  <c:v>1051.8</c:v>
                </c:pt>
                <c:pt idx="21">
                  <c:v>1051.3599999999999</c:v>
                </c:pt>
                <c:pt idx="22">
                  <c:v>1051.8</c:v>
                </c:pt>
                <c:pt idx="23">
                  <c:v>1052.3</c:v>
                </c:pt>
                <c:pt idx="24">
                  <c:v>1052</c:v>
                </c:pt>
                <c:pt idx="25">
                  <c:v>1051.75</c:v>
                </c:pt>
                <c:pt idx="26">
                  <c:v>1051.83</c:v>
                </c:pt>
                <c:pt idx="27">
                  <c:v>1052</c:v>
                </c:pt>
                <c:pt idx="28">
                  <c:v>1051.3900000000001</c:v>
                </c:pt>
                <c:pt idx="29">
                  <c:v>1051.28</c:v>
                </c:pt>
                <c:pt idx="30">
                  <c:v>1051.43</c:v>
                </c:pt>
                <c:pt idx="31">
                  <c:v>1051.4100000000001</c:v>
                </c:pt>
                <c:pt idx="32">
                  <c:v>1051.26</c:v>
                </c:pt>
                <c:pt idx="33">
                  <c:v>1051.4100000000001</c:v>
                </c:pt>
                <c:pt idx="34">
                  <c:v>1051.5</c:v>
                </c:pt>
                <c:pt idx="35">
                  <c:v>1051.17</c:v>
                </c:pt>
                <c:pt idx="36">
                  <c:v>1051.83</c:v>
                </c:pt>
                <c:pt idx="37">
                  <c:v>1051.25</c:v>
                </c:pt>
                <c:pt idx="38">
                  <c:v>1051.44</c:v>
                </c:pt>
                <c:pt idx="39">
                  <c:v>1051.95</c:v>
                </c:pt>
                <c:pt idx="40">
                  <c:v>1051.6099999999999</c:v>
                </c:pt>
                <c:pt idx="41">
                  <c:v>1051.97</c:v>
                </c:pt>
                <c:pt idx="42">
                  <c:v>1051.8</c:v>
                </c:pt>
                <c:pt idx="43">
                  <c:v>1051.49</c:v>
                </c:pt>
                <c:pt idx="44">
                  <c:v>1051.78</c:v>
                </c:pt>
                <c:pt idx="45">
                  <c:v>1052.1500000000001</c:v>
                </c:pt>
                <c:pt idx="46">
                  <c:v>1050.9000000000001</c:v>
                </c:pt>
                <c:pt idx="47">
                  <c:v>1051.47</c:v>
                </c:pt>
                <c:pt idx="48">
                  <c:v>1051.51</c:v>
                </c:pt>
                <c:pt idx="49">
                  <c:v>1051.6099999999999</c:v>
                </c:pt>
                <c:pt idx="50">
                  <c:v>1051.9100000000001</c:v>
                </c:pt>
                <c:pt idx="51">
                  <c:v>1051.7</c:v>
                </c:pt>
                <c:pt idx="52">
                  <c:v>1051.56</c:v>
                </c:pt>
                <c:pt idx="53">
                  <c:v>1051.8800000000001</c:v>
                </c:pt>
                <c:pt idx="54">
                  <c:v>1052.06</c:v>
                </c:pt>
                <c:pt idx="55">
                  <c:v>1052.32</c:v>
                </c:pt>
                <c:pt idx="56">
                  <c:v>1051.79</c:v>
                </c:pt>
                <c:pt idx="57">
                  <c:v>1051.95</c:v>
                </c:pt>
                <c:pt idx="58">
                  <c:v>1051.6199999999999</c:v>
                </c:pt>
                <c:pt idx="59">
                  <c:v>1052.1600000000001</c:v>
                </c:pt>
                <c:pt idx="60">
                  <c:v>1051.4100000000001</c:v>
                </c:pt>
                <c:pt idx="61">
                  <c:v>1051.68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633600"/>
        <c:axId val="78713600"/>
      </c:lineChart>
      <c:catAx>
        <c:axId val="78633600"/>
        <c:scaling>
          <c:orientation val="minMax"/>
        </c:scaling>
        <c:delete val="1"/>
        <c:axPos val="b"/>
        <c:majorTickMark val="out"/>
        <c:minorTickMark val="none"/>
        <c:tickLblPos val="nextTo"/>
        <c:crossAx val="78713600"/>
        <c:crosses val="autoZero"/>
        <c:auto val="0"/>
        <c:lblAlgn val="ctr"/>
        <c:lblOffset val="100"/>
        <c:noMultiLvlLbl val="1"/>
      </c:catAx>
      <c:valAx>
        <c:axId val="787136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8633600"/>
        <c:crosses val="autoZero"/>
        <c:crossBetween val="midCat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nominal</c:v>
          </c:tx>
          <c:spPr>
            <a:ln>
              <a:solidFill>
                <a:srgbClr val="92D050"/>
              </a:solidFill>
            </a:ln>
          </c:spPr>
          <c:marker>
            <c:symbol val="none"/>
          </c:marker>
          <c:cat>
            <c:multiLvlStrRef>
              <c:f>[0]!G10_XValues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[0]!G10_Nominal</c:f>
              <c:numCache>
                <c:formatCode>General</c:formatCode>
                <c:ptCount val="62"/>
                <c:pt idx="0">
                  <c:v>652</c:v>
                </c:pt>
                <c:pt idx="1">
                  <c:v>652</c:v>
                </c:pt>
                <c:pt idx="2">
                  <c:v>652</c:v>
                </c:pt>
                <c:pt idx="3">
                  <c:v>652</c:v>
                </c:pt>
                <c:pt idx="4">
                  <c:v>652</c:v>
                </c:pt>
                <c:pt idx="5">
                  <c:v>652</c:v>
                </c:pt>
                <c:pt idx="6">
                  <c:v>652</c:v>
                </c:pt>
                <c:pt idx="7">
                  <c:v>652</c:v>
                </c:pt>
                <c:pt idx="8">
                  <c:v>652</c:v>
                </c:pt>
                <c:pt idx="9">
                  <c:v>652</c:v>
                </c:pt>
                <c:pt idx="10">
                  <c:v>652</c:v>
                </c:pt>
                <c:pt idx="11">
                  <c:v>652</c:v>
                </c:pt>
                <c:pt idx="12">
                  <c:v>652</c:v>
                </c:pt>
                <c:pt idx="13">
                  <c:v>652</c:v>
                </c:pt>
                <c:pt idx="14">
                  <c:v>652</c:v>
                </c:pt>
                <c:pt idx="15">
                  <c:v>652</c:v>
                </c:pt>
                <c:pt idx="16">
                  <c:v>652</c:v>
                </c:pt>
                <c:pt idx="17">
                  <c:v>652</c:v>
                </c:pt>
                <c:pt idx="18">
                  <c:v>652</c:v>
                </c:pt>
                <c:pt idx="19">
                  <c:v>652</c:v>
                </c:pt>
                <c:pt idx="20">
                  <c:v>652</c:v>
                </c:pt>
                <c:pt idx="21">
                  <c:v>652</c:v>
                </c:pt>
                <c:pt idx="22">
                  <c:v>652</c:v>
                </c:pt>
                <c:pt idx="23">
                  <c:v>652</c:v>
                </c:pt>
                <c:pt idx="24">
                  <c:v>652</c:v>
                </c:pt>
                <c:pt idx="25">
                  <c:v>652</c:v>
                </c:pt>
                <c:pt idx="26">
                  <c:v>652</c:v>
                </c:pt>
                <c:pt idx="27">
                  <c:v>652</c:v>
                </c:pt>
                <c:pt idx="28">
                  <c:v>652</c:v>
                </c:pt>
                <c:pt idx="29">
                  <c:v>652</c:v>
                </c:pt>
                <c:pt idx="30">
                  <c:v>652</c:v>
                </c:pt>
                <c:pt idx="31">
                  <c:v>652</c:v>
                </c:pt>
                <c:pt idx="32">
                  <c:v>652</c:v>
                </c:pt>
                <c:pt idx="33">
                  <c:v>652</c:v>
                </c:pt>
                <c:pt idx="34">
                  <c:v>652</c:v>
                </c:pt>
                <c:pt idx="35">
                  <c:v>652</c:v>
                </c:pt>
                <c:pt idx="36">
                  <c:v>652</c:v>
                </c:pt>
                <c:pt idx="37">
                  <c:v>652</c:v>
                </c:pt>
                <c:pt idx="38">
                  <c:v>652</c:v>
                </c:pt>
                <c:pt idx="39">
                  <c:v>652</c:v>
                </c:pt>
                <c:pt idx="40">
                  <c:v>652</c:v>
                </c:pt>
                <c:pt idx="41">
                  <c:v>652</c:v>
                </c:pt>
                <c:pt idx="42">
                  <c:v>652</c:v>
                </c:pt>
                <c:pt idx="43">
                  <c:v>652</c:v>
                </c:pt>
                <c:pt idx="44">
                  <c:v>652</c:v>
                </c:pt>
                <c:pt idx="45">
                  <c:v>652</c:v>
                </c:pt>
                <c:pt idx="46">
                  <c:v>652</c:v>
                </c:pt>
                <c:pt idx="47">
                  <c:v>652</c:v>
                </c:pt>
                <c:pt idx="48">
                  <c:v>652</c:v>
                </c:pt>
                <c:pt idx="49">
                  <c:v>652</c:v>
                </c:pt>
                <c:pt idx="50">
                  <c:v>652</c:v>
                </c:pt>
                <c:pt idx="51">
                  <c:v>652</c:v>
                </c:pt>
                <c:pt idx="52">
                  <c:v>652</c:v>
                </c:pt>
                <c:pt idx="53">
                  <c:v>652</c:v>
                </c:pt>
                <c:pt idx="54">
                  <c:v>652</c:v>
                </c:pt>
                <c:pt idx="55">
                  <c:v>652</c:v>
                </c:pt>
                <c:pt idx="56">
                  <c:v>652</c:v>
                </c:pt>
                <c:pt idx="57">
                  <c:v>652</c:v>
                </c:pt>
                <c:pt idx="58">
                  <c:v>652</c:v>
                </c:pt>
                <c:pt idx="59">
                  <c:v>652</c:v>
                </c:pt>
                <c:pt idx="60">
                  <c:v>652</c:v>
                </c:pt>
                <c:pt idx="61">
                  <c:v>652</c:v>
                </c:pt>
              </c:numCache>
            </c:numRef>
          </c:val>
          <c:smooth val="0"/>
        </c:ser>
        <c:ser>
          <c:idx val="1"/>
          <c:order val="1"/>
          <c:tx>
            <c:v>lie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[0]!G10_XValues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[0]!G10_Lie</c:f>
              <c:numCache>
                <c:formatCode>General</c:formatCode>
                <c:ptCount val="62"/>
                <c:pt idx="0">
                  <c:v>649</c:v>
                </c:pt>
                <c:pt idx="1">
                  <c:v>649</c:v>
                </c:pt>
                <c:pt idx="2">
                  <c:v>649</c:v>
                </c:pt>
                <c:pt idx="3">
                  <c:v>649</c:v>
                </c:pt>
                <c:pt idx="4">
                  <c:v>649</c:v>
                </c:pt>
                <c:pt idx="5">
                  <c:v>649</c:v>
                </c:pt>
                <c:pt idx="6">
                  <c:v>649</c:v>
                </c:pt>
                <c:pt idx="7">
                  <c:v>649</c:v>
                </c:pt>
                <c:pt idx="8">
                  <c:v>649</c:v>
                </c:pt>
                <c:pt idx="9">
                  <c:v>649</c:v>
                </c:pt>
                <c:pt idx="10">
                  <c:v>649</c:v>
                </c:pt>
                <c:pt idx="11">
                  <c:v>649</c:v>
                </c:pt>
                <c:pt idx="12">
                  <c:v>649</c:v>
                </c:pt>
                <c:pt idx="13">
                  <c:v>649</c:v>
                </c:pt>
                <c:pt idx="14">
                  <c:v>649</c:v>
                </c:pt>
                <c:pt idx="15">
                  <c:v>649</c:v>
                </c:pt>
                <c:pt idx="16">
                  <c:v>649</c:v>
                </c:pt>
                <c:pt idx="17">
                  <c:v>649</c:v>
                </c:pt>
                <c:pt idx="18">
                  <c:v>649</c:v>
                </c:pt>
                <c:pt idx="19">
                  <c:v>649</c:v>
                </c:pt>
                <c:pt idx="20">
                  <c:v>649</c:v>
                </c:pt>
                <c:pt idx="21">
                  <c:v>649</c:v>
                </c:pt>
                <c:pt idx="22">
                  <c:v>649</c:v>
                </c:pt>
                <c:pt idx="23">
                  <c:v>649</c:v>
                </c:pt>
                <c:pt idx="24">
                  <c:v>649</c:v>
                </c:pt>
                <c:pt idx="25">
                  <c:v>649</c:v>
                </c:pt>
                <c:pt idx="26">
                  <c:v>649</c:v>
                </c:pt>
                <c:pt idx="27">
                  <c:v>649</c:v>
                </c:pt>
                <c:pt idx="28">
                  <c:v>649</c:v>
                </c:pt>
                <c:pt idx="29">
                  <c:v>649</c:v>
                </c:pt>
                <c:pt idx="30">
                  <c:v>649</c:v>
                </c:pt>
                <c:pt idx="31">
                  <c:v>649</c:v>
                </c:pt>
                <c:pt idx="32">
                  <c:v>649</c:v>
                </c:pt>
                <c:pt idx="33">
                  <c:v>649</c:v>
                </c:pt>
                <c:pt idx="34">
                  <c:v>649</c:v>
                </c:pt>
                <c:pt idx="35">
                  <c:v>649</c:v>
                </c:pt>
                <c:pt idx="36">
                  <c:v>649</c:v>
                </c:pt>
                <c:pt idx="37">
                  <c:v>649</c:v>
                </c:pt>
                <c:pt idx="38">
                  <c:v>649</c:v>
                </c:pt>
                <c:pt idx="39">
                  <c:v>649</c:v>
                </c:pt>
                <c:pt idx="40">
                  <c:v>649</c:v>
                </c:pt>
                <c:pt idx="41">
                  <c:v>649</c:v>
                </c:pt>
                <c:pt idx="42">
                  <c:v>649</c:v>
                </c:pt>
                <c:pt idx="43">
                  <c:v>649</c:v>
                </c:pt>
                <c:pt idx="44">
                  <c:v>649</c:v>
                </c:pt>
                <c:pt idx="45">
                  <c:v>649</c:v>
                </c:pt>
                <c:pt idx="46">
                  <c:v>649</c:v>
                </c:pt>
                <c:pt idx="47">
                  <c:v>649</c:v>
                </c:pt>
                <c:pt idx="48">
                  <c:v>649</c:v>
                </c:pt>
                <c:pt idx="49">
                  <c:v>649</c:v>
                </c:pt>
                <c:pt idx="50">
                  <c:v>649</c:v>
                </c:pt>
                <c:pt idx="51">
                  <c:v>649</c:v>
                </c:pt>
                <c:pt idx="52">
                  <c:v>649</c:v>
                </c:pt>
                <c:pt idx="53">
                  <c:v>649</c:v>
                </c:pt>
                <c:pt idx="54">
                  <c:v>649</c:v>
                </c:pt>
                <c:pt idx="55">
                  <c:v>649</c:v>
                </c:pt>
                <c:pt idx="56">
                  <c:v>649</c:v>
                </c:pt>
                <c:pt idx="57">
                  <c:v>649</c:v>
                </c:pt>
                <c:pt idx="58">
                  <c:v>649</c:v>
                </c:pt>
                <c:pt idx="59">
                  <c:v>649</c:v>
                </c:pt>
                <c:pt idx="60">
                  <c:v>649</c:v>
                </c:pt>
                <c:pt idx="61">
                  <c:v>649</c:v>
                </c:pt>
              </c:numCache>
            </c:numRef>
          </c:val>
          <c:smooth val="0"/>
        </c:ser>
        <c:ser>
          <c:idx val="2"/>
          <c:order val="2"/>
          <c:tx>
            <c:v>lse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[0]!G10_XValues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[0]!G10_Lse</c:f>
              <c:numCache>
                <c:formatCode>General</c:formatCode>
                <c:ptCount val="62"/>
                <c:pt idx="0">
                  <c:v>655</c:v>
                </c:pt>
                <c:pt idx="1">
                  <c:v>655</c:v>
                </c:pt>
                <c:pt idx="2">
                  <c:v>655</c:v>
                </c:pt>
                <c:pt idx="3">
                  <c:v>655</c:v>
                </c:pt>
                <c:pt idx="4">
                  <c:v>655</c:v>
                </c:pt>
                <c:pt idx="5">
                  <c:v>655</c:v>
                </c:pt>
                <c:pt idx="6">
                  <c:v>655</c:v>
                </c:pt>
                <c:pt idx="7">
                  <c:v>655</c:v>
                </c:pt>
                <c:pt idx="8">
                  <c:v>655</c:v>
                </c:pt>
                <c:pt idx="9">
                  <c:v>655</c:v>
                </c:pt>
                <c:pt idx="10">
                  <c:v>655</c:v>
                </c:pt>
                <c:pt idx="11">
                  <c:v>655</c:v>
                </c:pt>
                <c:pt idx="12">
                  <c:v>655</c:v>
                </c:pt>
                <c:pt idx="13">
                  <c:v>655</c:v>
                </c:pt>
                <c:pt idx="14">
                  <c:v>655</c:v>
                </c:pt>
                <c:pt idx="15">
                  <c:v>655</c:v>
                </c:pt>
                <c:pt idx="16">
                  <c:v>655</c:v>
                </c:pt>
                <c:pt idx="17">
                  <c:v>655</c:v>
                </c:pt>
                <c:pt idx="18">
                  <c:v>655</c:v>
                </c:pt>
                <c:pt idx="19">
                  <c:v>655</c:v>
                </c:pt>
                <c:pt idx="20">
                  <c:v>655</c:v>
                </c:pt>
                <c:pt idx="21">
                  <c:v>655</c:v>
                </c:pt>
                <c:pt idx="22">
                  <c:v>655</c:v>
                </c:pt>
                <c:pt idx="23">
                  <c:v>655</c:v>
                </c:pt>
                <c:pt idx="24">
                  <c:v>655</c:v>
                </c:pt>
                <c:pt idx="25">
                  <c:v>655</c:v>
                </c:pt>
                <c:pt idx="26">
                  <c:v>655</c:v>
                </c:pt>
                <c:pt idx="27">
                  <c:v>655</c:v>
                </c:pt>
                <c:pt idx="28">
                  <c:v>655</c:v>
                </c:pt>
                <c:pt idx="29">
                  <c:v>655</c:v>
                </c:pt>
                <c:pt idx="30">
                  <c:v>655</c:v>
                </c:pt>
                <c:pt idx="31">
                  <c:v>655</c:v>
                </c:pt>
                <c:pt idx="32">
                  <c:v>655</c:v>
                </c:pt>
                <c:pt idx="33">
                  <c:v>655</c:v>
                </c:pt>
                <c:pt idx="34">
                  <c:v>655</c:v>
                </c:pt>
                <c:pt idx="35">
                  <c:v>655</c:v>
                </c:pt>
                <c:pt idx="36">
                  <c:v>655</c:v>
                </c:pt>
                <c:pt idx="37">
                  <c:v>655</c:v>
                </c:pt>
                <c:pt idx="38">
                  <c:v>655</c:v>
                </c:pt>
                <c:pt idx="39">
                  <c:v>655</c:v>
                </c:pt>
                <c:pt idx="40">
                  <c:v>655</c:v>
                </c:pt>
                <c:pt idx="41">
                  <c:v>655</c:v>
                </c:pt>
                <c:pt idx="42">
                  <c:v>655</c:v>
                </c:pt>
                <c:pt idx="43">
                  <c:v>655</c:v>
                </c:pt>
                <c:pt idx="44">
                  <c:v>655</c:v>
                </c:pt>
                <c:pt idx="45">
                  <c:v>655</c:v>
                </c:pt>
                <c:pt idx="46">
                  <c:v>655</c:v>
                </c:pt>
                <c:pt idx="47">
                  <c:v>655</c:v>
                </c:pt>
                <c:pt idx="48">
                  <c:v>655</c:v>
                </c:pt>
                <c:pt idx="49">
                  <c:v>655</c:v>
                </c:pt>
                <c:pt idx="50">
                  <c:v>655</c:v>
                </c:pt>
                <c:pt idx="51">
                  <c:v>655</c:v>
                </c:pt>
                <c:pt idx="52">
                  <c:v>655</c:v>
                </c:pt>
                <c:pt idx="53">
                  <c:v>655</c:v>
                </c:pt>
                <c:pt idx="54">
                  <c:v>655</c:v>
                </c:pt>
                <c:pt idx="55">
                  <c:v>655</c:v>
                </c:pt>
                <c:pt idx="56">
                  <c:v>655</c:v>
                </c:pt>
                <c:pt idx="57">
                  <c:v>655</c:v>
                </c:pt>
                <c:pt idx="58">
                  <c:v>655</c:v>
                </c:pt>
                <c:pt idx="59">
                  <c:v>655</c:v>
                </c:pt>
                <c:pt idx="60">
                  <c:v>655</c:v>
                </c:pt>
                <c:pt idx="61">
                  <c:v>655</c:v>
                </c:pt>
              </c:numCache>
            </c:numRef>
          </c:val>
          <c:smooth val="0"/>
        </c:ser>
        <c:ser>
          <c:idx val="3"/>
          <c:order val="3"/>
          <c:tx>
            <c:v>data</c:v>
          </c:tx>
          <c:spPr>
            <a:ln>
              <a:solidFill>
                <a:schemeClr val="accent1"/>
              </a:solidFill>
            </a:ln>
          </c:spPr>
          <c:marker>
            <c:symbol val="circle"/>
            <c:size val="4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cat>
            <c:multiLvlStrRef>
              <c:f>[0]!G10_XValues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[0]!G10_Data</c:f>
              <c:numCache>
                <c:formatCode>General</c:formatCode>
                <c:ptCount val="62"/>
                <c:pt idx="0">
                  <c:v>655.83</c:v>
                </c:pt>
                <c:pt idx="1">
                  <c:v>653.71</c:v>
                </c:pt>
                <c:pt idx="2">
                  <c:v>655.08000000000004</c:v>
                </c:pt>
                <c:pt idx="3">
                  <c:v>654.20000000000005</c:v>
                </c:pt>
                <c:pt idx="4">
                  <c:v>654.29999999999995</c:v>
                </c:pt>
                <c:pt idx="5">
                  <c:v>654.4</c:v>
                </c:pt>
                <c:pt idx="6">
                  <c:v>655</c:v>
                </c:pt>
                <c:pt idx="7">
                  <c:v>655.1</c:v>
                </c:pt>
                <c:pt idx="8">
                  <c:v>655.1</c:v>
                </c:pt>
                <c:pt idx="9">
                  <c:v>656.24</c:v>
                </c:pt>
                <c:pt idx="10">
                  <c:v>653.97</c:v>
                </c:pt>
                <c:pt idx="11">
                  <c:v>653.84</c:v>
                </c:pt>
                <c:pt idx="12">
                  <c:v>654.46</c:v>
                </c:pt>
                <c:pt idx="13">
                  <c:v>655.84</c:v>
                </c:pt>
                <c:pt idx="14">
                  <c:v>654.67999999999995</c:v>
                </c:pt>
                <c:pt idx="15">
                  <c:v>653.84</c:v>
                </c:pt>
                <c:pt idx="16">
                  <c:v>654.67999999999995</c:v>
                </c:pt>
                <c:pt idx="17">
                  <c:v>654.99</c:v>
                </c:pt>
                <c:pt idx="18">
                  <c:v>655.1</c:v>
                </c:pt>
                <c:pt idx="19">
                  <c:v>654.20000000000005</c:v>
                </c:pt>
                <c:pt idx="20">
                  <c:v>655.4</c:v>
                </c:pt>
                <c:pt idx="21">
                  <c:v>655.62</c:v>
                </c:pt>
                <c:pt idx="22">
                  <c:v>655.1</c:v>
                </c:pt>
                <c:pt idx="23">
                  <c:v>656.4</c:v>
                </c:pt>
                <c:pt idx="24">
                  <c:v>656.2</c:v>
                </c:pt>
                <c:pt idx="25">
                  <c:v>653.6</c:v>
                </c:pt>
                <c:pt idx="26">
                  <c:v>655.37</c:v>
                </c:pt>
                <c:pt idx="27">
                  <c:v>654.91999999999996</c:v>
                </c:pt>
                <c:pt idx="28">
                  <c:v>656.12</c:v>
                </c:pt>
                <c:pt idx="29">
                  <c:v>655.71</c:v>
                </c:pt>
                <c:pt idx="30">
                  <c:v>654.85</c:v>
                </c:pt>
                <c:pt idx="31">
                  <c:v>654.58000000000004</c:v>
                </c:pt>
                <c:pt idx="32">
                  <c:v>655.14</c:v>
                </c:pt>
                <c:pt idx="33">
                  <c:v>656</c:v>
                </c:pt>
                <c:pt idx="34">
                  <c:v>654.6</c:v>
                </c:pt>
                <c:pt idx="35">
                  <c:v>655.92</c:v>
                </c:pt>
                <c:pt idx="36">
                  <c:v>656.03</c:v>
                </c:pt>
                <c:pt idx="37">
                  <c:v>654.08000000000004</c:v>
                </c:pt>
                <c:pt idx="38">
                  <c:v>654.57000000000005</c:v>
                </c:pt>
                <c:pt idx="39">
                  <c:v>654.70000000000005</c:v>
                </c:pt>
                <c:pt idx="40">
                  <c:v>654.66</c:v>
                </c:pt>
                <c:pt idx="41">
                  <c:v>656.71</c:v>
                </c:pt>
                <c:pt idx="42">
                  <c:v>655.65</c:v>
                </c:pt>
                <c:pt idx="43">
                  <c:v>655.91</c:v>
                </c:pt>
                <c:pt idx="44">
                  <c:v>654.62</c:v>
                </c:pt>
                <c:pt idx="45">
                  <c:v>655.94</c:v>
                </c:pt>
                <c:pt idx="46">
                  <c:v>655.1</c:v>
                </c:pt>
                <c:pt idx="47">
                  <c:v>654.16999999999996</c:v>
                </c:pt>
                <c:pt idx="48">
                  <c:v>654.57000000000005</c:v>
                </c:pt>
                <c:pt idx="49">
                  <c:v>655.74</c:v>
                </c:pt>
                <c:pt idx="50">
                  <c:v>655.48</c:v>
                </c:pt>
                <c:pt idx="51">
                  <c:v>656.03</c:v>
                </c:pt>
                <c:pt idx="52">
                  <c:v>654.78</c:v>
                </c:pt>
                <c:pt idx="53">
                  <c:v>655.1</c:v>
                </c:pt>
                <c:pt idx="54">
                  <c:v>655.25</c:v>
                </c:pt>
                <c:pt idx="55">
                  <c:v>655.51</c:v>
                </c:pt>
                <c:pt idx="56">
                  <c:v>655.53</c:v>
                </c:pt>
                <c:pt idx="57">
                  <c:v>656.32</c:v>
                </c:pt>
                <c:pt idx="58">
                  <c:v>656.03</c:v>
                </c:pt>
                <c:pt idx="59">
                  <c:v>657.7</c:v>
                </c:pt>
                <c:pt idx="60">
                  <c:v>656.49</c:v>
                </c:pt>
                <c:pt idx="61">
                  <c:v>654.82000000000005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768000"/>
        <c:axId val="78770176"/>
      </c:lineChart>
      <c:catAx>
        <c:axId val="78768000"/>
        <c:scaling>
          <c:orientation val="minMax"/>
        </c:scaling>
        <c:delete val="1"/>
        <c:axPos val="b"/>
        <c:majorTickMark val="out"/>
        <c:minorTickMark val="none"/>
        <c:tickLblPos val="nextTo"/>
        <c:crossAx val="78770176"/>
        <c:crosses val="autoZero"/>
        <c:auto val="0"/>
        <c:lblAlgn val="ctr"/>
        <c:lblOffset val="100"/>
        <c:noMultiLvlLbl val="1"/>
      </c:catAx>
      <c:valAx>
        <c:axId val="78770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8768000"/>
        <c:crosses val="autoZero"/>
        <c:crossBetween val="midCat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nominal</c:v>
          </c:tx>
          <c:spPr>
            <a:ln>
              <a:solidFill>
                <a:srgbClr val="92D050"/>
              </a:solidFill>
            </a:ln>
          </c:spPr>
          <c:marker>
            <c:symbol val="none"/>
          </c:marker>
          <c:cat>
            <c:multiLvlStrRef>
              <c:f>[0]!G11_XValues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[0]!G11_Nominal</c:f>
              <c:numCache>
                <c:formatCode>General</c:formatCode>
                <c:ptCount val="62"/>
                <c:pt idx="0">
                  <c:v>420</c:v>
                </c:pt>
                <c:pt idx="1">
                  <c:v>420</c:v>
                </c:pt>
                <c:pt idx="2">
                  <c:v>420</c:v>
                </c:pt>
                <c:pt idx="3">
                  <c:v>420</c:v>
                </c:pt>
                <c:pt idx="4">
                  <c:v>420</c:v>
                </c:pt>
                <c:pt idx="5">
                  <c:v>420</c:v>
                </c:pt>
                <c:pt idx="6">
                  <c:v>420</c:v>
                </c:pt>
                <c:pt idx="7">
                  <c:v>420</c:v>
                </c:pt>
                <c:pt idx="8">
                  <c:v>420</c:v>
                </c:pt>
                <c:pt idx="9">
                  <c:v>420</c:v>
                </c:pt>
                <c:pt idx="10">
                  <c:v>420</c:v>
                </c:pt>
                <c:pt idx="11">
                  <c:v>420</c:v>
                </c:pt>
                <c:pt idx="12">
                  <c:v>420</c:v>
                </c:pt>
                <c:pt idx="13">
                  <c:v>420</c:v>
                </c:pt>
                <c:pt idx="14">
                  <c:v>420</c:v>
                </c:pt>
                <c:pt idx="15">
                  <c:v>420</c:v>
                </c:pt>
                <c:pt idx="16">
                  <c:v>420</c:v>
                </c:pt>
                <c:pt idx="17">
                  <c:v>420</c:v>
                </c:pt>
                <c:pt idx="18">
                  <c:v>420</c:v>
                </c:pt>
                <c:pt idx="19">
                  <c:v>420</c:v>
                </c:pt>
                <c:pt idx="20">
                  <c:v>420</c:v>
                </c:pt>
                <c:pt idx="21">
                  <c:v>420</c:v>
                </c:pt>
                <c:pt idx="22">
                  <c:v>420</c:v>
                </c:pt>
                <c:pt idx="23">
                  <c:v>420</c:v>
                </c:pt>
                <c:pt idx="24">
                  <c:v>420</c:v>
                </c:pt>
                <c:pt idx="25">
                  <c:v>420</c:v>
                </c:pt>
                <c:pt idx="26">
                  <c:v>420</c:v>
                </c:pt>
                <c:pt idx="27">
                  <c:v>420</c:v>
                </c:pt>
                <c:pt idx="28">
                  <c:v>420</c:v>
                </c:pt>
                <c:pt idx="29">
                  <c:v>420</c:v>
                </c:pt>
                <c:pt idx="30">
                  <c:v>420</c:v>
                </c:pt>
                <c:pt idx="31">
                  <c:v>420</c:v>
                </c:pt>
                <c:pt idx="32">
                  <c:v>420</c:v>
                </c:pt>
                <c:pt idx="33">
                  <c:v>420</c:v>
                </c:pt>
                <c:pt idx="34">
                  <c:v>420</c:v>
                </c:pt>
                <c:pt idx="35">
                  <c:v>420</c:v>
                </c:pt>
                <c:pt idx="36">
                  <c:v>420</c:v>
                </c:pt>
                <c:pt idx="37">
                  <c:v>420</c:v>
                </c:pt>
                <c:pt idx="38">
                  <c:v>420</c:v>
                </c:pt>
                <c:pt idx="39">
                  <c:v>420</c:v>
                </c:pt>
                <c:pt idx="40">
                  <c:v>420</c:v>
                </c:pt>
                <c:pt idx="41">
                  <c:v>420</c:v>
                </c:pt>
                <c:pt idx="42">
                  <c:v>420</c:v>
                </c:pt>
                <c:pt idx="43">
                  <c:v>420</c:v>
                </c:pt>
                <c:pt idx="44">
                  <c:v>420</c:v>
                </c:pt>
                <c:pt idx="45">
                  <c:v>420</c:v>
                </c:pt>
                <c:pt idx="46">
                  <c:v>420</c:v>
                </c:pt>
                <c:pt idx="47">
                  <c:v>420</c:v>
                </c:pt>
                <c:pt idx="48">
                  <c:v>420</c:v>
                </c:pt>
                <c:pt idx="49">
                  <c:v>420</c:v>
                </c:pt>
                <c:pt idx="50">
                  <c:v>420</c:v>
                </c:pt>
                <c:pt idx="51">
                  <c:v>420</c:v>
                </c:pt>
                <c:pt idx="52">
                  <c:v>420</c:v>
                </c:pt>
                <c:pt idx="53">
                  <c:v>420</c:v>
                </c:pt>
                <c:pt idx="54">
                  <c:v>420</c:v>
                </c:pt>
                <c:pt idx="55">
                  <c:v>420</c:v>
                </c:pt>
                <c:pt idx="56">
                  <c:v>420</c:v>
                </c:pt>
                <c:pt idx="57">
                  <c:v>420</c:v>
                </c:pt>
                <c:pt idx="58">
                  <c:v>420</c:v>
                </c:pt>
                <c:pt idx="59">
                  <c:v>420</c:v>
                </c:pt>
                <c:pt idx="60">
                  <c:v>420</c:v>
                </c:pt>
                <c:pt idx="61">
                  <c:v>420</c:v>
                </c:pt>
              </c:numCache>
            </c:numRef>
          </c:val>
          <c:smooth val="0"/>
        </c:ser>
        <c:ser>
          <c:idx val="1"/>
          <c:order val="1"/>
          <c:tx>
            <c:v>lie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[0]!G11_XValues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[0]!G11_Lie</c:f>
              <c:numCache>
                <c:formatCode>General</c:formatCode>
                <c:ptCount val="62"/>
                <c:pt idx="0">
                  <c:v>416</c:v>
                </c:pt>
                <c:pt idx="1">
                  <c:v>416</c:v>
                </c:pt>
                <c:pt idx="2">
                  <c:v>416</c:v>
                </c:pt>
                <c:pt idx="3">
                  <c:v>416</c:v>
                </c:pt>
                <c:pt idx="4">
                  <c:v>416</c:v>
                </c:pt>
                <c:pt idx="5">
                  <c:v>416</c:v>
                </c:pt>
                <c:pt idx="6">
                  <c:v>416</c:v>
                </c:pt>
                <c:pt idx="7">
                  <c:v>416</c:v>
                </c:pt>
                <c:pt idx="8">
                  <c:v>416</c:v>
                </c:pt>
                <c:pt idx="9">
                  <c:v>416</c:v>
                </c:pt>
                <c:pt idx="10">
                  <c:v>416</c:v>
                </c:pt>
                <c:pt idx="11">
                  <c:v>416</c:v>
                </c:pt>
                <c:pt idx="12">
                  <c:v>416</c:v>
                </c:pt>
                <c:pt idx="13">
                  <c:v>416</c:v>
                </c:pt>
                <c:pt idx="14">
                  <c:v>416</c:v>
                </c:pt>
                <c:pt idx="15">
                  <c:v>416</c:v>
                </c:pt>
                <c:pt idx="16">
                  <c:v>416</c:v>
                </c:pt>
                <c:pt idx="17">
                  <c:v>416</c:v>
                </c:pt>
                <c:pt idx="18">
                  <c:v>416</c:v>
                </c:pt>
                <c:pt idx="19">
                  <c:v>416</c:v>
                </c:pt>
                <c:pt idx="20">
                  <c:v>416</c:v>
                </c:pt>
                <c:pt idx="21">
                  <c:v>416</c:v>
                </c:pt>
                <c:pt idx="22">
                  <c:v>416</c:v>
                </c:pt>
                <c:pt idx="23">
                  <c:v>416</c:v>
                </c:pt>
                <c:pt idx="24">
                  <c:v>416</c:v>
                </c:pt>
                <c:pt idx="25">
                  <c:v>416</c:v>
                </c:pt>
                <c:pt idx="26">
                  <c:v>416</c:v>
                </c:pt>
                <c:pt idx="27">
                  <c:v>416</c:v>
                </c:pt>
                <c:pt idx="28">
                  <c:v>416</c:v>
                </c:pt>
                <c:pt idx="29">
                  <c:v>416</c:v>
                </c:pt>
                <c:pt idx="30">
                  <c:v>416</c:v>
                </c:pt>
                <c:pt idx="31">
                  <c:v>416</c:v>
                </c:pt>
                <c:pt idx="32">
                  <c:v>416</c:v>
                </c:pt>
                <c:pt idx="33">
                  <c:v>416</c:v>
                </c:pt>
                <c:pt idx="34">
                  <c:v>416</c:v>
                </c:pt>
                <c:pt idx="35">
                  <c:v>416</c:v>
                </c:pt>
                <c:pt idx="36">
                  <c:v>416</c:v>
                </c:pt>
                <c:pt idx="37">
                  <c:v>416</c:v>
                </c:pt>
                <c:pt idx="38">
                  <c:v>416</c:v>
                </c:pt>
                <c:pt idx="39">
                  <c:v>416</c:v>
                </c:pt>
                <c:pt idx="40">
                  <c:v>416</c:v>
                </c:pt>
                <c:pt idx="41">
                  <c:v>416</c:v>
                </c:pt>
                <c:pt idx="42">
                  <c:v>416</c:v>
                </c:pt>
                <c:pt idx="43">
                  <c:v>416</c:v>
                </c:pt>
                <c:pt idx="44">
                  <c:v>416</c:v>
                </c:pt>
                <c:pt idx="45">
                  <c:v>416</c:v>
                </c:pt>
                <c:pt idx="46">
                  <c:v>416</c:v>
                </c:pt>
                <c:pt idx="47">
                  <c:v>416</c:v>
                </c:pt>
                <c:pt idx="48">
                  <c:v>416</c:v>
                </c:pt>
                <c:pt idx="49">
                  <c:v>416</c:v>
                </c:pt>
                <c:pt idx="50">
                  <c:v>416</c:v>
                </c:pt>
                <c:pt idx="51">
                  <c:v>416</c:v>
                </c:pt>
                <c:pt idx="52">
                  <c:v>416</c:v>
                </c:pt>
                <c:pt idx="53">
                  <c:v>416</c:v>
                </c:pt>
                <c:pt idx="54">
                  <c:v>416</c:v>
                </c:pt>
                <c:pt idx="55">
                  <c:v>416</c:v>
                </c:pt>
                <c:pt idx="56">
                  <c:v>416</c:v>
                </c:pt>
                <c:pt idx="57">
                  <c:v>416</c:v>
                </c:pt>
                <c:pt idx="58">
                  <c:v>416</c:v>
                </c:pt>
                <c:pt idx="59">
                  <c:v>416</c:v>
                </c:pt>
                <c:pt idx="60">
                  <c:v>416</c:v>
                </c:pt>
                <c:pt idx="61">
                  <c:v>416</c:v>
                </c:pt>
              </c:numCache>
            </c:numRef>
          </c:val>
          <c:smooth val="0"/>
        </c:ser>
        <c:ser>
          <c:idx val="2"/>
          <c:order val="2"/>
          <c:tx>
            <c:v>lse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[0]!G11_XValues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[0]!G11_Lse</c:f>
              <c:numCache>
                <c:formatCode>General</c:formatCode>
                <c:ptCount val="62"/>
                <c:pt idx="0">
                  <c:v>424</c:v>
                </c:pt>
                <c:pt idx="1">
                  <c:v>424</c:v>
                </c:pt>
                <c:pt idx="2">
                  <c:v>424</c:v>
                </c:pt>
                <c:pt idx="3">
                  <c:v>424</c:v>
                </c:pt>
                <c:pt idx="4">
                  <c:v>424</c:v>
                </c:pt>
                <c:pt idx="5">
                  <c:v>424</c:v>
                </c:pt>
                <c:pt idx="6">
                  <c:v>424</c:v>
                </c:pt>
                <c:pt idx="7">
                  <c:v>424</c:v>
                </c:pt>
                <c:pt idx="8">
                  <c:v>424</c:v>
                </c:pt>
                <c:pt idx="9">
                  <c:v>424</c:v>
                </c:pt>
                <c:pt idx="10">
                  <c:v>424</c:v>
                </c:pt>
                <c:pt idx="11">
                  <c:v>424</c:v>
                </c:pt>
                <c:pt idx="12">
                  <c:v>424</c:v>
                </c:pt>
                <c:pt idx="13">
                  <c:v>424</c:v>
                </c:pt>
                <c:pt idx="14">
                  <c:v>424</c:v>
                </c:pt>
                <c:pt idx="15">
                  <c:v>424</c:v>
                </c:pt>
                <c:pt idx="16">
                  <c:v>424</c:v>
                </c:pt>
                <c:pt idx="17">
                  <c:v>424</c:v>
                </c:pt>
                <c:pt idx="18">
                  <c:v>424</c:v>
                </c:pt>
                <c:pt idx="19">
                  <c:v>424</c:v>
                </c:pt>
                <c:pt idx="20">
                  <c:v>424</c:v>
                </c:pt>
                <c:pt idx="21">
                  <c:v>424</c:v>
                </c:pt>
                <c:pt idx="22">
                  <c:v>424</c:v>
                </c:pt>
                <c:pt idx="23">
                  <c:v>424</c:v>
                </c:pt>
                <c:pt idx="24">
                  <c:v>424</c:v>
                </c:pt>
                <c:pt idx="25">
                  <c:v>424</c:v>
                </c:pt>
                <c:pt idx="26">
                  <c:v>424</c:v>
                </c:pt>
                <c:pt idx="27">
                  <c:v>424</c:v>
                </c:pt>
                <c:pt idx="28">
                  <c:v>424</c:v>
                </c:pt>
                <c:pt idx="29">
                  <c:v>424</c:v>
                </c:pt>
                <c:pt idx="30">
                  <c:v>424</c:v>
                </c:pt>
                <c:pt idx="31">
                  <c:v>424</c:v>
                </c:pt>
                <c:pt idx="32">
                  <c:v>424</c:v>
                </c:pt>
                <c:pt idx="33">
                  <c:v>424</c:v>
                </c:pt>
                <c:pt idx="34">
                  <c:v>424</c:v>
                </c:pt>
                <c:pt idx="35">
                  <c:v>424</c:v>
                </c:pt>
                <c:pt idx="36">
                  <c:v>424</c:v>
                </c:pt>
                <c:pt idx="37">
                  <c:v>424</c:v>
                </c:pt>
                <c:pt idx="38">
                  <c:v>424</c:v>
                </c:pt>
                <c:pt idx="39">
                  <c:v>424</c:v>
                </c:pt>
                <c:pt idx="40">
                  <c:v>424</c:v>
                </c:pt>
                <c:pt idx="41">
                  <c:v>424</c:v>
                </c:pt>
                <c:pt idx="42">
                  <c:v>424</c:v>
                </c:pt>
                <c:pt idx="43">
                  <c:v>424</c:v>
                </c:pt>
                <c:pt idx="44">
                  <c:v>424</c:v>
                </c:pt>
                <c:pt idx="45">
                  <c:v>424</c:v>
                </c:pt>
                <c:pt idx="46">
                  <c:v>424</c:v>
                </c:pt>
                <c:pt idx="47">
                  <c:v>424</c:v>
                </c:pt>
                <c:pt idx="48">
                  <c:v>424</c:v>
                </c:pt>
                <c:pt idx="49">
                  <c:v>424</c:v>
                </c:pt>
                <c:pt idx="50">
                  <c:v>424</c:v>
                </c:pt>
                <c:pt idx="51">
                  <c:v>424</c:v>
                </c:pt>
                <c:pt idx="52">
                  <c:v>424</c:v>
                </c:pt>
                <c:pt idx="53">
                  <c:v>424</c:v>
                </c:pt>
                <c:pt idx="54">
                  <c:v>424</c:v>
                </c:pt>
                <c:pt idx="55">
                  <c:v>424</c:v>
                </c:pt>
                <c:pt idx="56">
                  <c:v>424</c:v>
                </c:pt>
                <c:pt idx="57">
                  <c:v>424</c:v>
                </c:pt>
                <c:pt idx="58">
                  <c:v>424</c:v>
                </c:pt>
                <c:pt idx="59">
                  <c:v>424</c:v>
                </c:pt>
                <c:pt idx="60">
                  <c:v>424</c:v>
                </c:pt>
                <c:pt idx="61">
                  <c:v>424</c:v>
                </c:pt>
              </c:numCache>
            </c:numRef>
          </c:val>
          <c:smooth val="0"/>
        </c:ser>
        <c:ser>
          <c:idx val="3"/>
          <c:order val="3"/>
          <c:tx>
            <c:v>data</c:v>
          </c:tx>
          <c:spPr>
            <a:ln>
              <a:solidFill>
                <a:schemeClr val="accent1"/>
              </a:solidFill>
            </a:ln>
          </c:spPr>
          <c:marker>
            <c:symbol val="circle"/>
            <c:size val="4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cat>
            <c:multiLvlStrRef>
              <c:f>[0]!G11_XValues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[0]!G11_Data</c:f>
              <c:numCache>
                <c:formatCode>General</c:formatCode>
                <c:ptCount val="62"/>
                <c:pt idx="0">
                  <c:v>418.61</c:v>
                </c:pt>
                <c:pt idx="1">
                  <c:v>420.34</c:v>
                </c:pt>
                <c:pt idx="2">
                  <c:v>419.95</c:v>
                </c:pt>
                <c:pt idx="3">
                  <c:v>420.6</c:v>
                </c:pt>
                <c:pt idx="4">
                  <c:v>418.6</c:v>
                </c:pt>
                <c:pt idx="5">
                  <c:v>419.9</c:v>
                </c:pt>
                <c:pt idx="6">
                  <c:v>418.9</c:v>
                </c:pt>
                <c:pt idx="7">
                  <c:v>419.7</c:v>
                </c:pt>
                <c:pt idx="8">
                  <c:v>421.2</c:v>
                </c:pt>
                <c:pt idx="9">
                  <c:v>420.44</c:v>
                </c:pt>
                <c:pt idx="10">
                  <c:v>419.25</c:v>
                </c:pt>
                <c:pt idx="11">
                  <c:v>419.96</c:v>
                </c:pt>
                <c:pt idx="12">
                  <c:v>420.27</c:v>
                </c:pt>
                <c:pt idx="13">
                  <c:v>420.36</c:v>
                </c:pt>
                <c:pt idx="14">
                  <c:v>421.26</c:v>
                </c:pt>
                <c:pt idx="15">
                  <c:v>421.3</c:v>
                </c:pt>
                <c:pt idx="16">
                  <c:v>420.12</c:v>
                </c:pt>
                <c:pt idx="17">
                  <c:v>419.48</c:v>
                </c:pt>
                <c:pt idx="18">
                  <c:v>421.4</c:v>
                </c:pt>
                <c:pt idx="19">
                  <c:v>421.2</c:v>
                </c:pt>
                <c:pt idx="20">
                  <c:v>421.2</c:v>
                </c:pt>
                <c:pt idx="21">
                  <c:v>419.63</c:v>
                </c:pt>
                <c:pt idx="22">
                  <c:v>420.1</c:v>
                </c:pt>
                <c:pt idx="23">
                  <c:v>421.1</c:v>
                </c:pt>
                <c:pt idx="24">
                  <c:v>421.4</c:v>
                </c:pt>
                <c:pt idx="25">
                  <c:v>421.09</c:v>
                </c:pt>
                <c:pt idx="26">
                  <c:v>420.59</c:v>
                </c:pt>
                <c:pt idx="27">
                  <c:v>419.16</c:v>
                </c:pt>
                <c:pt idx="28">
                  <c:v>420.18</c:v>
                </c:pt>
                <c:pt idx="29">
                  <c:v>420.98</c:v>
                </c:pt>
                <c:pt idx="30">
                  <c:v>420.5</c:v>
                </c:pt>
                <c:pt idx="31">
                  <c:v>419.6</c:v>
                </c:pt>
                <c:pt idx="32">
                  <c:v>420.67</c:v>
                </c:pt>
                <c:pt idx="33">
                  <c:v>419.34</c:v>
                </c:pt>
                <c:pt idx="34">
                  <c:v>419.8</c:v>
                </c:pt>
                <c:pt idx="35">
                  <c:v>420.53</c:v>
                </c:pt>
                <c:pt idx="36">
                  <c:v>419.37</c:v>
                </c:pt>
                <c:pt idx="37">
                  <c:v>420.56</c:v>
                </c:pt>
                <c:pt idx="38">
                  <c:v>420.32</c:v>
                </c:pt>
                <c:pt idx="39">
                  <c:v>419.68</c:v>
                </c:pt>
                <c:pt idx="40">
                  <c:v>420.14</c:v>
                </c:pt>
                <c:pt idx="41">
                  <c:v>418.37</c:v>
                </c:pt>
                <c:pt idx="42">
                  <c:v>419.92</c:v>
                </c:pt>
                <c:pt idx="43">
                  <c:v>420.17</c:v>
                </c:pt>
                <c:pt idx="44">
                  <c:v>419.79</c:v>
                </c:pt>
                <c:pt idx="45">
                  <c:v>420.7</c:v>
                </c:pt>
                <c:pt idx="46">
                  <c:v>418.85</c:v>
                </c:pt>
                <c:pt idx="47">
                  <c:v>420.43</c:v>
                </c:pt>
                <c:pt idx="48">
                  <c:v>420.55</c:v>
                </c:pt>
                <c:pt idx="49">
                  <c:v>421.05</c:v>
                </c:pt>
                <c:pt idx="50">
                  <c:v>420.7</c:v>
                </c:pt>
                <c:pt idx="51">
                  <c:v>418.44</c:v>
                </c:pt>
                <c:pt idx="52">
                  <c:v>421.33</c:v>
                </c:pt>
                <c:pt idx="53">
                  <c:v>420.55</c:v>
                </c:pt>
                <c:pt idx="54">
                  <c:v>420.31</c:v>
                </c:pt>
                <c:pt idx="55">
                  <c:v>420.78</c:v>
                </c:pt>
                <c:pt idx="56">
                  <c:v>418.89</c:v>
                </c:pt>
                <c:pt idx="57">
                  <c:v>420.32</c:v>
                </c:pt>
                <c:pt idx="58">
                  <c:v>420.28</c:v>
                </c:pt>
                <c:pt idx="59">
                  <c:v>420.76</c:v>
                </c:pt>
                <c:pt idx="60">
                  <c:v>419.3</c:v>
                </c:pt>
                <c:pt idx="61">
                  <c:v>420.88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816384"/>
        <c:axId val="78818304"/>
      </c:lineChart>
      <c:catAx>
        <c:axId val="78816384"/>
        <c:scaling>
          <c:orientation val="minMax"/>
        </c:scaling>
        <c:delete val="1"/>
        <c:axPos val="b"/>
        <c:majorTickMark val="out"/>
        <c:minorTickMark val="none"/>
        <c:tickLblPos val="nextTo"/>
        <c:crossAx val="78818304"/>
        <c:crosses val="autoZero"/>
        <c:auto val="0"/>
        <c:lblAlgn val="ctr"/>
        <c:lblOffset val="100"/>
        <c:noMultiLvlLbl val="1"/>
      </c:catAx>
      <c:valAx>
        <c:axId val="788183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8816384"/>
        <c:crosses val="autoZero"/>
        <c:crossBetween val="midCat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nominal</c:v>
          </c:tx>
          <c:spPr>
            <a:ln>
              <a:solidFill>
                <a:srgbClr val="92D050"/>
              </a:solidFill>
            </a:ln>
          </c:spPr>
          <c:marker>
            <c:symbol val="none"/>
          </c:marker>
          <c:cat>
            <c:multiLvlStrRef>
              <c:f>[0]!G12_XValues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[0]!G12_Nominal</c:f>
              <c:numCache>
                <c:formatCode>General</c:formatCode>
                <c:ptCount val="62"/>
                <c:pt idx="0">
                  <c:v>-459.6</c:v>
                </c:pt>
                <c:pt idx="1">
                  <c:v>-459.6</c:v>
                </c:pt>
                <c:pt idx="2">
                  <c:v>-459.6</c:v>
                </c:pt>
                <c:pt idx="3">
                  <c:v>-459.6</c:v>
                </c:pt>
                <c:pt idx="4">
                  <c:v>-459.6</c:v>
                </c:pt>
                <c:pt idx="5">
                  <c:v>-459.6</c:v>
                </c:pt>
                <c:pt idx="6">
                  <c:v>-459.6</c:v>
                </c:pt>
                <c:pt idx="7">
                  <c:v>-459.6</c:v>
                </c:pt>
                <c:pt idx="8">
                  <c:v>-459.6</c:v>
                </c:pt>
                <c:pt idx="9">
                  <c:v>-459.6</c:v>
                </c:pt>
                <c:pt idx="10">
                  <c:v>-459.6</c:v>
                </c:pt>
                <c:pt idx="11">
                  <c:v>-459.6</c:v>
                </c:pt>
                <c:pt idx="12">
                  <c:v>-459.6</c:v>
                </c:pt>
                <c:pt idx="13">
                  <c:v>-459.6</c:v>
                </c:pt>
                <c:pt idx="14">
                  <c:v>-459.6</c:v>
                </c:pt>
                <c:pt idx="15">
                  <c:v>-459.6</c:v>
                </c:pt>
                <c:pt idx="16">
                  <c:v>-459.6</c:v>
                </c:pt>
                <c:pt idx="17">
                  <c:v>-459.6</c:v>
                </c:pt>
                <c:pt idx="18">
                  <c:v>-459.6</c:v>
                </c:pt>
                <c:pt idx="19">
                  <c:v>-459.6</c:v>
                </c:pt>
                <c:pt idx="20">
                  <c:v>-459.6</c:v>
                </c:pt>
                <c:pt idx="21">
                  <c:v>-459.6</c:v>
                </c:pt>
                <c:pt idx="22">
                  <c:v>-459.6</c:v>
                </c:pt>
                <c:pt idx="23">
                  <c:v>-459.6</c:v>
                </c:pt>
                <c:pt idx="24">
                  <c:v>-459.6</c:v>
                </c:pt>
                <c:pt idx="25">
                  <c:v>-459.6</c:v>
                </c:pt>
                <c:pt idx="26">
                  <c:v>-459.6</c:v>
                </c:pt>
                <c:pt idx="27">
                  <c:v>-459.6</c:v>
                </c:pt>
                <c:pt idx="28">
                  <c:v>-459.6</c:v>
                </c:pt>
                <c:pt idx="29">
                  <c:v>-459.6</c:v>
                </c:pt>
                <c:pt idx="30">
                  <c:v>-459.6</c:v>
                </c:pt>
                <c:pt idx="31">
                  <c:v>-459.6</c:v>
                </c:pt>
                <c:pt idx="32">
                  <c:v>-459.6</c:v>
                </c:pt>
                <c:pt idx="33">
                  <c:v>-459.6</c:v>
                </c:pt>
                <c:pt idx="34">
                  <c:v>-459.6</c:v>
                </c:pt>
                <c:pt idx="35">
                  <c:v>-459.6</c:v>
                </c:pt>
                <c:pt idx="36">
                  <c:v>-459.6</c:v>
                </c:pt>
                <c:pt idx="37">
                  <c:v>-459.6</c:v>
                </c:pt>
                <c:pt idx="38">
                  <c:v>-459.6</c:v>
                </c:pt>
                <c:pt idx="39">
                  <c:v>-459.6</c:v>
                </c:pt>
                <c:pt idx="40">
                  <c:v>-459.6</c:v>
                </c:pt>
                <c:pt idx="41">
                  <c:v>-459.6</c:v>
                </c:pt>
                <c:pt idx="42">
                  <c:v>-459.6</c:v>
                </c:pt>
                <c:pt idx="43">
                  <c:v>-459.6</c:v>
                </c:pt>
                <c:pt idx="44">
                  <c:v>-459.6</c:v>
                </c:pt>
                <c:pt idx="45">
                  <c:v>-459.6</c:v>
                </c:pt>
                <c:pt idx="46">
                  <c:v>-459.6</c:v>
                </c:pt>
                <c:pt idx="47">
                  <c:v>-459.6</c:v>
                </c:pt>
                <c:pt idx="48">
                  <c:v>-459.6</c:v>
                </c:pt>
                <c:pt idx="49">
                  <c:v>-459.6</c:v>
                </c:pt>
                <c:pt idx="50">
                  <c:v>-459.6</c:v>
                </c:pt>
                <c:pt idx="51">
                  <c:v>-459.6</c:v>
                </c:pt>
                <c:pt idx="52">
                  <c:v>-459.6</c:v>
                </c:pt>
                <c:pt idx="53">
                  <c:v>-459.6</c:v>
                </c:pt>
                <c:pt idx="54">
                  <c:v>-459.6</c:v>
                </c:pt>
                <c:pt idx="55">
                  <c:v>-459.6</c:v>
                </c:pt>
                <c:pt idx="56">
                  <c:v>-459.6</c:v>
                </c:pt>
                <c:pt idx="57">
                  <c:v>-459.6</c:v>
                </c:pt>
                <c:pt idx="58">
                  <c:v>-459.6</c:v>
                </c:pt>
                <c:pt idx="59">
                  <c:v>-459.6</c:v>
                </c:pt>
                <c:pt idx="60">
                  <c:v>-459.6</c:v>
                </c:pt>
                <c:pt idx="61">
                  <c:v>-459.6</c:v>
                </c:pt>
              </c:numCache>
            </c:numRef>
          </c:val>
          <c:smooth val="0"/>
        </c:ser>
        <c:ser>
          <c:idx val="1"/>
          <c:order val="1"/>
          <c:tx>
            <c:v>lie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[0]!G12_XValues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[0]!G12_Lie</c:f>
              <c:numCache>
                <c:formatCode>General</c:formatCode>
                <c:ptCount val="62"/>
                <c:pt idx="0">
                  <c:v>-463.6</c:v>
                </c:pt>
                <c:pt idx="1">
                  <c:v>-463.6</c:v>
                </c:pt>
                <c:pt idx="2">
                  <c:v>-463.6</c:v>
                </c:pt>
                <c:pt idx="3">
                  <c:v>-463.6</c:v>
                </c:pt>
                <c:pt idx="4">
                  <c:v>-463.6</c:v>
                </c:pt>
                <c:pt idx="5">
                  <c:v>-463.6</c:v>
                </c:pt>
                <c:pt idx="6">
                  <c:v>-463.6</c:v>
                </c:pt>
                <c:pt idx="7">
                  <c:v>-463.6</c:v>
                </c:pt>
                <c:pt idx="8">
                  <c:v>-463.6</c:v>
                </c:pt>
                <c:pt idx="9">
                  <c:v>-463.6</c:v>
                </c:pt>
                <c:pt idx="10">
                  <c:v>-463.6</c:v>
                </c:pt>
                <c:pt idx="11">
                  <c:v>-463.6</c:v>
                </c:pt>
                <c:pt idx="12">
                  <c:v>-463.6</c:v>
                </c:pt>
                <c:pt idx="13">
                  <c:v>-463.6</c:v>
                </c:pt>
                <c:pt idx="14">
                  <c:v>-463.6</c:v>
                </c:pt>
                <c:pt idx="15">
                  <c:v>-463.6</c:v>
                </c:pt>
                <c:pt idx="16">
                  <c:v>-463.6</c:v>
                </c:pt>
                <c:pt idx="17">
                  <c:v>-463.6</c:v>
                </c:pt>
                <c:pt idx="18">
                  <c:v>-463.6</c:v>
                </c:pt>
                <c:pt idx="19">
                  <c:v>-463.6</c:v>
                </c:pt>
                <c:pt idx="20">
                  <c:v>-463.6</c:v>
                </c:pt>
                <c:pt idx="21">
                  <c:v>-463.6</c:v>
                </c:pt>
                <c:pt idx="22">
                  <c:v>-463.6</c:v>
                </c:pt>
                <c:pt idx="23">
                  <c:v>-463.6</c:v>
                </c:pt>
                <c:pt idx="24">
                  <c:v>-463.6</c:v>
                </c:pt>
                <c:pt idx="25">
                  <c:v>-463.6</c:v>
                </c:pt>
                <c:pt idx="26">
                  <c:v>-463.6</c:v>
                </c:pt>
                <c:pt idx="27">
                  <c:v>-463.6</c:v>
                </c:pt>
                <c:pt idx="28">
                  <c:v>-463.6</c:v>
                </c:pt>
                <c:pt idx="29">
                  <c:v>-463.6</c:v>
                </c:pt>
                <c:pt idx="30">
                  <c:v>-463.6</c:v>
                </c:pt>
                <c:pt idx="31">
                  <c:v>-463.6</c:v>
                </c:pt>
                <c:pt idx="32">
                  <c:v>-463.6</c:v>
                </c:pt>
                <c:pt idx="33">
                  <c:v>-463.6</c:v>
                </c:pt>
                <c:pt idx="34">
                  <c:v>-463.6</c:v>
                </c:pt>
                <c:pt idx="35">
                  <c:v>-463.6</c:v>
                </c:pt>
                <c:pt idx="36">
                  <c:v>-463.6</c:v>
                </c:pt>
                <c:pt idx="37">
                  <c:v>-463.6</c:v>
                </c:pt>
                <c:pt idx="38">
                  <c:v>-463.6</c:v>
                </c:pt>
                <c:pt idx="39">
                  <c:v>-463.6</c:v>
                </c:pt>
                <c:pt idx="40">
                  <c:v>-463.6</c:v>
                </c:pt>
                <c:pt idx="41">
                  <c:v>-463.6</c:v>
                </c:pt>
                <c:pt idx="42">
                  <c:v>-463.6</c:v>
                </c:pt>
                <c:pt idx="43">
                  <c:v>-463.6</c:v>
                </c:pt>
                <c:pt idx="44">
                  <c:v>-463.6</c:v>
                </c:pt>
                <c:pt idx="45">
                  <c:v>-463.6</c:v>
                </c:pt>
                <c:pt idx="46">
                  <c:v>-463.6</c:v>
                </c:pt>
                <c:pt idx="47">
                  <c:v>-463.6</c:v>
                </c:pt>
                <c:pt idx="48">
                  <c:v>-463.6</c:v>
                </c:pt>
                <c:pt idx="49">
                  <c:v>-463.6</c:v>
                </c:pt>
                <c:pt idx="50">
                  <c:v>-463.6</c:v>
                </c:pt>
                <c:pt idx="51">
                  <c:v>-463.6</c:v>
                </c:pt>
                <c:pt idx="52">
                  <c:v>-463.6</c:v>
                </c:pt>
                <c:pt idx="53">
                  <c:v>-463.6</c:v>
                </c:pt>
                <c:pt idx="54">
                  <c:v>-463.6</c:v>
                </c:pt>
                <c:pt idx="55">
                  <c:v>-463.6</c:v>
                </c:pt>
                <c:pt idx="56">
                  <c:v>-463.6</c:v>
                </c:pt>
                <c:pt idx="57">
                  <c:v>-463.6</c:v>
                </c:pt>
                <c:pt idx="58">
                  <c:v>-463.6</c:v>
                </c:pt>
                <c:pt idx="59">
                  <c:v>-463.6</c:v>
                </c:pt>
                <c:pt idx="60">
                  <c:v>-463.6</c:v>
                </c:pt>
                <c:pt idx="61">
                  <c:v>-463.6</c:v>
                </c:pt>
              </c:numCache>
            </c:numRef>
          </c:val>
          <c:smooth val="0"/>
        </c:ser>
        <c:ser>
          <c:idx val="2"/>
          <c:order val="2"/>
          <c:tx>
            <c:v>lse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[0]!G12_XValues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[0]!G12_Lse</c:f>
              <c:numCache>
                <c:formatCode>General</c:formatCode>
                <c:ptCount val="62"/>
                <c:pt idx="0">
                  <c:v>-455.6</c:v>
                </c:pt>
                <c:pt idx="1">
                  <c:v>-455.6</c:v>
                </c:pt>
                <c:pt idx="2">
                  <c:v>-455.6</c:v>
                </c:pt>
                <c:pt idx="3">
                  <c:v>-455.6</c:v>
                </c:pt>
                <c:pt idx="4">
                  <c:v>-455.6</c:v>
                </c:pt>
                <c:pt idx="5">
                  <c:v>-455.6</c:v>
                </c:pt>
                <c:pt idx="6">
                  <c:v>-455.6</c:v>
                </c:pt>
                <c:pt idx="7">
                  <c:v>-455.6</c:v>
                </c:pt>
                <c:pt idx="8">
                  <c:v>-455.6</c:v>
                </c:pt>
                <c:pt idx="9">
                  <c:v>-455.6</c:v>
                </c:pt>
                <c:pt idx="10">
                  <c:v>-455.6</c:v>
                </c:pt>
                <c:pt idx="11">
                  <c:v>-455.6</c:v>
                </c:pt>
                <c:pt idx="12">
                  <c:v>-455.6</c:v>
                </c:pt>
                <c:pt idx="13">
                  <c:v>-455.6</c:v>
                </c:pt>
                <c:pt idx="14">
                  <c:v>-455.6</c:v>
                </c:pt>
                <c:pt idx="15">
                  <c:v>-455.6</c:v>
                </c:pt>
                <c:pt idx="16">
                  <c:v>-455.6</c:v>
                </c:pt>
                <c:pt idx="17">
                  <c:v>-455.6</c:v>
                </c:pt>
                <c:pt idx="18">
                  <c:v>-455.6</c:v>
                </c:pt>
                <c:pt idx="19">
                  <c:v>-455.6</c:v>
                </c:pt>
                <c:pt idx="20">
                  <c:v>-455.6</c:v>
                </c:pt>
                <c:pt idx="21">
                  <c:v>-455.6</c:v>
                </c:pt>
                <c:pt idx="22">
                  <c:v>-455.6</c:v>
                </c:pt>
                <c:pt idx="23">
                  <c:v>-455.6</c:v>
                </c:pt>
                <c:pt idx="24">
                  <c:v>-455.6</c:v>
                </c:pt>
                <c:pt idx="25">
                  <c:v>-455.6</c:v>
                </c:pt>
                <c:pt idx="26">
                  <c:v>-455.6</c:v>
                </c:pt>
                <c:pt idx="27">
                  <c:v>-455.6</c:v>
                </c:pt>
                <c:pt idx="28">
                  <c:v>-455.6</c:v>
                </c:pt>
                <c:pt idx="29">
                  <c:v>-455.6</c:v>
                </c:pt>
                <c:pt idx="30">
                  <c:v>-455.6</c:v>
                </c:pt>
                <c:pt idx="31">
                  <c:v>-455.6</c:v>
                </c:pt>
                <c:pt idx="32">
                  <c:v>-455.6</c:v>
                </c:pt>
                <c:pt idx="33">
                  <c:v>-455.6</c:v>
                </c:pt>
                <c:pt idx="34">
                  <c:v>-455.6</c:v>
                </c:pt>
                <c:pt idx="35">
                  <c:v>-455.6</c:v>
                </c:pt>
                <c:pt idx="36">
                  <c:v>-455.6</c:v>
                </c:pt>
                <c:pt idx="37">
                  <c:v>-455.6</c:v>
                </c:pt>
                <c:pt idx="38">
                  <c:v>-455.6</c:v>
                </c:pt>
                <c:pt idx="39">
                  <c:v>-455.6</c:v>
                </c:pt>
                <c:pt idx="40">
                  <c:v>-455.6</c:v>
                </c:pt>
                <c:pt idx="41">
                  <c:v>-455.6</c:v>
                </c:pt>
                <c:pt idx="42">
                  <c:v>-455.6</c:v>
                </c:pt>
                <c:pt idx="43">
                  <c:v>-455.6</c:v>
                </c:pt>
                <c:pt idx="44">
                  <c:v>-455.6</c:v>
                </c:pt>
                <c:pt idx="45">
                  <c:v>-455.6</c:v>
                </c:pt>
                <c:pt idx="46">
                  <c:v>-455.6</c:v>
                </c:pt>
                <c:pt idx="47">
                  <c:v>-455.6</c:v>
                </c:pt>
                <c:pt idx="48">
                  <c:v>-455.6</c:v>
                </c:pt>
                <c:pt idx="49">
                  <c:v>-455.6</c:v>
                </c:pt>
                <c:pt idx="50">
                  <c:v>-455.6</c:v>
                </c:pt>
                <c:pt idx="51">
                  <c:v>-455.6</c:v>
                </c:pt>
                <c:pt idx="52">
                  <c:v>-455.6</c:v>
                </c:pt>
                <c:pt idx="53">
                  <c:v>-455.6</c:v>
                </c:pt>
                <c:pt idx="54">
                  <c:v>-455.6</c:v>
                </c:pt>
                <c:pt idx="55">
                  <c:v>-455.6</c:v>
                </c:pt>
                <c:pt idx="56">
                  <c:v>-455.6</c:v>
                </c:pt>
                <c:pt idx="57">
                  <c:v>-455.6</c:v>
                </c:pt>
                <c:pt idx="58">
                  <c:v>-455.6</c:v>
                </c:pt>
                <c:pt idx="59">
                  <c:v>-455.6</c:v>
                </c:pt>
                <c:pt idx="60">
                  <c:v>-455.6</c:v>
                </c:pt>
                <c:pt idx="61">
                  <c:v>-455.6</c:v>
                </c:pt>
              </c:numCache>
            </c:numRef>
          </c:val>
          <c:smooth val="0"/>
        </c:ser>
        <c:ser>
          <c:idx val="3"/>
          <c:order val="3"/>
          <c:tx>
            <c:v>data</c:v>
          </c:tx>
          <c:spPr>
            <a:ln>
              <a:solidFill>
                <a:schemeClr val="accent1"/>
              </a:solidFill>
            </a:ln>
          </c:spPr>
          <c:marker>
            <c:symbol val="circle"/>
            <c:size val="4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cat>
            <c:multiLvlStrRef>
              <c:f>[0]!G12_XValues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[0]!G12_Data</c:f>
              <c:numCache>
                <c:formatCode>General</c:formatCode>
                <c:ptCount val="62"/>
                <c:pt idx="0">
                  <c:v>-460.07</c:v>
                </c:pt>
                <c:pt idx="1">
                  <c:v>-460.24</c:v>
                </c:pt>
                <c:pt idx="2">
                  <c:v>-460.23</c:v>
                </c:pt>
                <c:pt idx="3">
                  <c:v>-459.9</c:v>
                </c:pt>
                <c:pt idx="4">
                  <c:v>-460.6</c:v>
                </c:pt>
                <c:pt idx="5">
                  <c:v>-460.5</c:v>
                </c:pt>
                <c:pt idx="6">
                  <c:v>-460.8</c:v>
                </c:pt>
                <c:pt idx="7">
                  <c:v>-460.3</c:v>
                </c:pt>
                <c:pt idx="8">
                  <c:v>-460.6</c:v>
                </c:pt>
                <c:pt idx="9">
                  <c:v>-460.34</c:v>
                </c:pt>
                <c:pt idx="10">
                  <c:v>-460.43</c:v>
                </c:pt>
                <c:pt idx="11">
                  <c:v>-460.35</c:v>
                </c:pt>
                <c:pt idx="12">
                  <c:v>-459.59</c:v>
                </c:pt>
                <c:pt idx="13">
                  <c:v>-460.31</c:v>
                </c:pt>
                <c:pt idx="14">
                  <c:v>-460.31</c:v>
                </c:pt>
                <c:pt idx="15">
                  <c:v>-460.68</c:v>
                </c:pt>
                <c:pt idx="16">
                  <c:v>-460.39</c:v>
                </c:pt>
                <c:pt idx="17">
                  <c:v>-460.21</c:v>
                </c:pt>
                <c:pt idx="18">
                  <c:v>-461.1</c:v>
                </c:pt>
                <c:pt idx="19">
                  <c:v>-460.2</c:v>
                </c:pt>
                <c:pt idx="20">
                  <c:v>-461.3</c:v>
                </c:pt>
                <c:pt idx="21">
                  <c:v>-460.32</c:v>
                </c:pt>
                <c:pt idx="22">
                  <c:v>-461.1</c:v>
                </c:pt>
                <c:pt idx="23">
                  <c:v>-461.3</c:v>
                </c:pt>
                <c:pt idx="24">
                  <c:v>-460.9</c:v>
                </c:pt>
                <c:pt idx="25">
                  <c:v>-460.7</c:v>
                </c:pt>
                <c:pt idx="26">
                  <c:v>-460.99</c:v>
                </c:pt>
                <c:pt idx="27">
                  <c:v>-460.86</c:v>
                </c:pt>
                <c:pt idx="28">
                  <c:v>-461.54</c:v>
                </c:pt>
                <c:pt idx="29">
                  <c:v>-461.47</c:v>
                </c:pt>
                <c:pt idx="30">
                  <c:v>-460.91</c:v>
                </c:pt>
                <c:pt idx="31">
                  <c:v>-460.41</c:v>
                </c:pt>
                <c:pt idx="32">
                  <c:v>-461.08</c:v>
                </c:pt>
                <c:pt idx="33">
                  <c:v>-460.4</c:v>
                </c:pt>
                <c:pt idx="34">
                  <c:v>-460.6</c:v>
                </c:pt>
                <c:pt idx="35">
                  <c:v>-461.37</c:v>
                </c:pt>
                <c:pt idx="36">
                  <c:v>-460.78</c:v>
                </c:pt>
                <c:pt idx="37">
                  <c:v>-460.45</c:v>
                </c:pt>
                <c:pt idx="38">
                  <c:v>-460.18</c:v>
                </c:pt>
                <c:pt idx="39">
                  <c:v>-460.57</c:v>
                </c:pt>
                <c:pt idx="40">
                  <c:v>-460.49</c:v>
                </c:pt>
                <c:pt idx="41">
                  <c:v>-461.04</c:v>
                </c:pt>
                <c:pt idx="42">
                  <c:v>-460.83</c:v>
                </c:pt>
                <c:pt idx="43">
                  <c:v>-461.23</c:v>
                </c:pt>
                <c:pt idx="44">
                  <c:v>-460.79</c:v>
                </c:pt>
                <c:pt idx="45">
                  <c:v>-460.74</c:v>
                </c:pt>
                <c:pt idx="46">
                  <c:v>-460.48</c:v>
                </c:pt>
                <c:pt idx="47">
                  <c:v>-460.42</c:v>
                </c:pt>
                <c:pt idx="48">
                  <c:v>-460.98</c:v>
                </c:pt>
                <c:pt idx="49">
                  <c:v>-460.87</c:v>
                </c:pt>
                <c:pt idx="50">
                  <c:v>-460.29</c:v>
                </c:pt>
                <c:pt idx="51">
                  <c:v>-460.65</c:v>
                </c:pt>
                <c:pt idx="52">
                  <c:v>-461.27</c:v>
                </c:pt>
                <c:pt idx="53">
                  <c:v>-461.05</c:v>
                </c:pt>
                <c:pt idx="54">
                  <c:v>-460.5</c:v>
                </c:pt>
                <c:pt idx="55">
                  <c:v>-461.35</c:v>
                </c:pt>
                <c:pt idx="56">
                  <c:v>-460.79</c:v>
                </c:pt>
                <c:pt idx="57">
                  <c:v>-461.13</c:v>
                </c:pt>
                <c:pt idx="58">
                  <c:v>-461.22</c:v>
                </c:pt>
                <c:pt idx="59">
                  <c:v>-462.02</c:v>
                </c:pt>
                <c:pt idx="60">
                  <c:v>-460.89</c:v>
                </c:pt>
                <c:pt idx="61">
                  <c:v>-460.66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937920"/>
        <c:axId val="79939840"/>
      </c:lineChart>
      <c:catAx>
        <c:axId val="79937920"/>
        <c:scaling>
          <c:orientation val="minMax"/>
        </c:scaling>
        <c:delete val="1"/>
        <c:axPos val="b"/>
        <c:majorTickMark val="out"/>
        <c:minorTickMark val="none"/>
        <c:tickLblPos val="nextTo"/>
        <c:crossAx val="79939840"/>
        <c:crosses val="autoZero"/>
        <c:auto val="0"/>
        <c:lblAlgn val="ctr"/>
        <c:lblOffset val="100"/>
        <c:noMultiLvlLbl val="1"/>
      </c:catAx>
      <c:valAx>
        <c:axId val="799398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9937920"/>
        <c:crosses val="autoZero"/>
        <c:crossBetween val="midCat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nominal</c:v>
          </c:tx>
          <c:spPr>
            <a:ln>
              <a:solidFill>
                <a:srgbClr val="92D050"/>
              </a:solidFill>
            </a:ln>
          </c:spPr>
          <c:marker>
            <c:symbol val="none"/>
          </c:marker>
          <c:cat>
            <c:multiLvlStrRef>
              <c:f>[0]!G13_XValues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[0]!G13_Nominal</c:f>
              <c:numCache>
                <c:formatCode>General</c:formatCode>
                <c:ptCount val="62"/>
                <c:pt idx="0">
                  <c:v>1071.4000000000001</c:v>
                </c:pt>
                <c:pt idx="1">
                  <c:v>1071.4000000000001</c:v>
                </c:pt>
                <c:pt idx="2">
                  <c:v>1071.4000000000001</c:v>
                </c:pt>
                <c:pt idx="3">
                  <c:v>1071.4000000000001</c:v>
                </c:pt>
                <c:pt idx="4">
                  <c:v>1071.4000000000001</c:v>
                </c:pt>
                <c:pt idx="5">
                  <c:v>1071.4000000000001</c:v>
                </c:pt>
                <c:pt idx="6">
                  <c:v>1071.4000000000001</c:v>
                </c:pt>
                <c:pt idx="7">
                  <c:v>1071.4000000000001</c:v>
                </c:pt>
                <c:pt idx="8">
                  <c:v>1071.4000000000001</c:v>
                </c:pt>
                <c:pt idx="9">
                  <c:v>1071.4000000000001</c:v>
                </c:pt>
                <c:pt idx="10">
                  <c:v>1071.4000000000001</c:v>
                </c:pt>
                <c:pt idx="11">
                  <c:v>1071.4000000000001</c:v>
                </c:pt>
                <c:pt idx="12">
                  <c:v>1071.4000000000001</c:v>
                </c:pt>
                <c:pt idx="13">
                  <c:v>1071.4000000000001</c:v>
                </c:pt>
                <c:pt idx="14">
                  <c:v>1071.4000000000001</c:v>
                </c:pt>
                <c:pt idx="15">
                  <c:v>1071.4000000000001</c:v>
                </c:pt>
                <c:pt idx="16">
                  <c:v>1071.4000000000001</c:v>
                </c:pt>
                <c:pt idx="17">
                  <c:v>1071.4000000000001</c:v>
                </c:pt>
                <c:pt idx="18">
                  <c:v>1071.4000000000001</c:v>
                </c:pt>
                <c:pt idx="19">
                  <c:v>1071.4000000000001</c:v>
                </c:pt>
                <c:pt idx="20">
                  <c:v>1071.4000000000001</c:v>
                </c:pt>
                <c:pt idx="21">
                  <c:v>1071.4000000000001</c:v>
                </c:pt>
                <c:pt idx="22">
                  <c:v>1071.4000000000001</c:v>
                </c:pt>
                <c:pt idx="23">
                  <c:v>1071.4000000000001</c:v>
                </c:pt>
                <c:pt idx="24">
                  <c:v>1071.4000000000001</c:v>
                </c:pt>
                <c:pt idx="25">
                  <c:v>1071.4000000000001</c:v>
                </c:pt>
                <c:pt idx="26">
                  <c:v>1071.4000000000001</c:v>
                </c:pt>
                <c:pt idx="27">
                  <c:v>1071.4000000000001</c:v>
                </c:pt>
                <c:pt idx="28">
                  <c:v>1071.4000000000001</c:v>
                </c:pt>
                <c:pt idx="29">
                  <c:v>1071.4000000000001</c:v>
                </c:pt>
                <c:pt idx="30">
                  <c:v>1071.4000000000001</c:v>
                </c:pt>
                <c:pt idx="31">
                  <c:v>1071.4000000000001</c:v>
                </c:pt>
                <c:pt idx="32">
                  <c:v>1071.4000000000001</c:v>
                </c:pt>
                <c:pt idx="33">
                  <c:v>1071.4000000000001</c:v>
                </c:pt>
                <c:pt idx="34">
                  <c:v>1071.4000000000001</c:v>
                </c:pt>
                <c:pt idx="35">
                  <c:v>1071.4000000000001</c:v>
                </c:pt>
                <c:pt idx="36">
                  <c:v>1071.4000000000001</c:v>
                </c:pt>
                <c:pt idx="37">
                  <c:v>1071.4000000000001</c:v>
                </c:pt>
                <c:pt idx="38">
                  <c:v>1071.4000000000001</c:v>
                </c:pt>
                <c:pt idx="39">
                  <c:v>1071.4000000000001</c:v>
                </c:pt>
                <c:pt idx="40">
                  <c:v>1071.4000000000001</c:v>
                </c:pt>
                <c:pt idx="41">
                  <c:v>1071.4000000000001</c:v>
                </c:pt>
                <c:pt idx="42">
                  <c:v>1071.4000000000001</c:v>
                </c:pt>
                <c:pt idx="43">
                  <c:v>1071.4000000000001</c:v>
                </c:pt>
                <c:pt idx="44">
                  <c:v>1071.4000000000001</c:v>
                </c:pt>
                <c:pt idx="45">
                  <c:v>1071.4000000000001</c:v>
                </c:pt>
                <c:pt idx="46">
                  <c:v>1071.4000000000001</c:v>
                </c:pt>
                <c:pt idx="47">
                  <c:v>1071.4000000000001</c:v>
                </c:pt>
                <c:pt idx="48">
                  <c:v>1071.4000000000001</c:v>
                </c:pt>
                <c:pt idx="49">
                  <c:v>1071.4000000000001</c:v>
                </c:pt>
                <c:pt idx="50">
                  <c:v>1071.4000000000001</c:v>
                </c:pt>
                <c:pt idx="51">
                  <c:v>1071.4000000000001</c:v>
                </c:pt>
                <c:pt idx="52">
                  <c:v>1071.4000000000001</c:v>
                </c:pt>
                <c:pt idx="53">
                  <c:v>1071.4000000000001</c:v>
                </c:pt>
                <c:pt idx="54">
                  <c:v>1071.4000000000001</c:v>
                </c:pt>
                <c:pt idx="55">
                  <c:v>1071.4000000000001</c:v>
                </c:pt>
                <c:pt idx="56">
                  <c:v>1071.4000000000001</c:v>
                </c:pt>
                <c:pt idx="57">
                  <c:v>1071.4000000000001</c:v>
                </c:pt>
                <c:pt idx="58">
                  <c:v>1071.4000000000001</c:v>
                </c:pt>
                <c:pt idx="59">
                  <c:v>1071.4000000000001</c:v>
                </c:pt>
                <c:pt idx="60">
                  <c:v>1071.4000000000001</c:v>
                </c:pt>
                <c:pt idx="61">
                  <c:v>1071.4000000000001</c:v>
                </c:pt>
              </c:numCache>
            </c:numRef>
          </c:val>
          <c:smooth val="0"/>
        </c:ser>
        <c:ser>
          <c:idx val="1"/>
          <c:order val="1"/>
          <c:tx>
            <c:v>lie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[0]!G13_XValues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[0]!G13_Lie</c:f>
              <c:numCache>
                <c:formatCode>General</c:formatCode>
                <c:ptCount val="62"/>
                <c:pt idx="0">
                  <c:v>1067.4000000000001</c:v>
                </c:pt>
                <c:pt idx="1">
                  <c:v>1067.4000000000001</c:v>
                </c:pt>
                <c:pt idx="2">
                  <c:v>1067.4000000000001</c:v>
                </c:pt>
                <c:pt idx="3">
                  <c:v>1067.4000000000001</c:v>
                </c:pt>
                <c:pt idx="4">
                  <c:v>1067.4000000000001</c:v>
                </c:pt>
                <c:pt idx="5">
                  <c:v>1067.4000000000001</c:v>
                </c:pt>
                <c:pt idx="6">
                  <c:v>1067.4000000000001</c:v>
                </c:pt>
                <c:pt idx="7">
                  <c:v>1067.4000000000001</c:v>
                </c:pt>
                <c:pt idx="8">
                  <c:v>1067.4000000000001</c:v>
                </c:pt>
                <c:pt idx="9">
                  <c:v>1067.4000000000001</c:v>
                </c:pt>
                <c:pt idx="10">
                  <c:v>1067.4000000000001</c:v>
                </c:pt>
                <c:pt idx="11">
                  <c:v>1067.4000000000001</c:v>
                </c:pt>
                <c:pt idx="12">
                  <c:v>1067.4000000000001</c:v>
                </c:pt>
                <c:pt idx="13">
                  <c:v>1067.4000000000001</c:v>
                </c:pt>
                <c:pt idx="14">
                  <c:v>1067.4000000000001</c:v>
                </c:pt>
                <c:pt idx="15">
                  <c:v>1067.4000000000001</c:v>
                </c:pt>
                <c:pt idx="16">
                  <c:v>1067.4000000000001</c:v>
                </c:pt>
                <c:pt idx="17">
                  <c:v>1067.4000000000001</c:v>
                </c:pt>
                <c:pt idx="18">
                  <c:v>1067.4000000000001</c:v>
                </c:pt>
                <c:pt idx="19">
                  <c:v>1067.4000000000001</c:v>
                </c:pt>
                <c:pt idx="20">
                  <c:v>1067.4000000000001</c:v>
                </c:pt>
                <c:pt idx="21">
                  <c:v>1067.4000000000001</c:v>
                </c:pt>
                <c:pt idx="22">
                  <c:v>1067.4000000000001</c:v>
                </c:pt>
                <c:pt idx="23">
                  <c:v>1067.4000000000001</c:v>
                </c:pt>
                <c:pt idx="24">
                  <c:v>1067.4000000000001</c:v>
                </c:pt>
                <c:pt idx="25">
                  <c:v>1067.4000000000001</c:v>
                </c:pt>
                <c:pt idx="26">
                  <c:v>1067.4000000000001</c:v>
                </c:pt>
                <c:pt idx="27">
                  <c:v>1067.4000000000001</c:v>
                </c:pt>
                <c:pt idx="28">
                  <c:v>1067.4000000000001</c:v>
                </c:pt>
                <c:pt idx="29">
                  <c:v>1067.4000000000001</c:v>
                </c:pt>
                <c:pt idx="30">
                  <c:v>1067.4000000000001</c:v>
                </c:pt>
                <c:pt idx="31">
                  <c:v>1067.4000000000001</c:v>
                </c:pt>
                <c:pt idx="32">
                  <c:v>1067.4000000000001</c:v>
                </c:pt>
                <c:pt idx="33">
                  <c:v>1067.4000000000001</c:v>
                </c:pt>
                <c:pt idx="34">
                  <c:v>1067.4000000000001</c:v>
                </c:pt>
                <c:pt idx="35">
                  <c:v>1067.4000000000001</c:v>
                </c:pt>
                <c:pt idx="36">
                  <c:v>1067.4000000000001</c:v>
                </c:pt>
                <c:pt idx="37">
                  <c:v>1067.4000000000001</c:v>
                </c:pt>
                <c:pt idx="38">
                  <c:v>1067.4000000000001</c:v>
                </c:pt>
                <c:pt idx="39">
                  <c:v>1067.4000000000001</c:v>
                </c:pt>
                <c:pt idx="40">
                  <c:v>1067.4000000000001</c:v>
                </c:pt>
                <c:pt idx="41">
                  <c:v>1067.4000000000001</c:v>
                </c:pt>
                <c:pt idx="42">
                  <c:v>1067.4000000000001</c:v>
                </c:pt>
                <c:pt idx="43">
                  <c:v>1067.4000000000001</c:v>
                </c:pt>
                <c:pt idx="44">
                  <c:v>1067.4000000000001</c:v>
                </c:pt>
                <c:pt idx="45">
                  <c:v>1067.4000000000001</c:v>
                </c:pt>
                <c:pt idx="46">
                  <c:v>1067.4000000000001</c:v>
                </c:pt>
                <c:pt idx="47">
                  <c:v>1067.4000000000001</c:v>
                </c:pt>
                <c:pt idx="48">
                  <c:v>1067.4000000000001</c:v>
                </c:pt>
                <c:pt idx="49">
                  <c:v>1067.4000000000001</c:v>
                </c:pt>
                <c:pt idx="50">
                  <c:v>1067.4000000000001</c:v>
                </c:pt>
                <c:pt idx="51">
                  <c:v>1067.4000000000001</c:v>
                </c:pt>
                <c:pt idx="52">
                  <c:v>1067.4000000000001</c:v>
                </c:pt>
                <c:pt idx="53">
                  <c:v>1067.4000000000001</c:v>
                </c:pt>
                <c:pt idx="54">
                  <c:v>1067.4000000000001</c:v>
                </c:pt>
                <c:pt idx="55">
                  <c:v>1067.4000000000001</c:v>
                </c:pt>
                <c:pt idx="56">
                  <c:v>1067.4000000000001</c:v>
                </c:pt>
                <c:pt idx="57">
                  <c:v>1067.4000000000001</c:v>
                </c:pt>
                <c:pt idx="58">
                  <c:v>1067.4000000000001</c:v>
                </c:pt>
                <c:pt idx="59">
                  <c:v>1067.4000000000001</c:v>
                </c:pt>
                <c:pt idx="60">
                  <c:v>1067.4000000000001</c:v>
                </c:pt>
                <c:pt idx="61">
                  <c:v>1067.4000000000001</c:v>
                </c:pt>
              </c:numCache>
            </c:numRef>
          </c:val>
          <c:smooth val="0"/>
        </c:ser>
        <c:ser>
          <c:idx val="2"/>
          <c:order val="2"/>
          <c:tx>
            <c:v>lse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[0]!G13_XValues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[0]!G13_Lse</c:f>
              <c:numCache>
                <c:formatCode>General</c:formatCode>
                <c:ptCount val="62"/>
                <c:pt idx="0">
                  <c:v>1075.4000000000001</c:v>
                </c:pt>
                <c:pt idx="1">
                  <c:v>1075.4000000000001</c:v>
                </c:pt>
                <c:pt idx="2">
                  <c:v>1075.4000000000001</c:v>
                </c:pt>
                <c:pt idx="3">
                  <c:v>1075.4000000000001</c:v>
                </c:pt>
                <c:pt idx="4">
                  <c:v>1075.4000000000001</c:v>
                </c:pt>
                <c:pt idx="5">
                  <c:v>1075.4000000000001</c:v>
                </c:pt>
                <c:pt idx="6">
                  <c:v>1075.4000000000001</c:v>
                </c:pt>
                <c:pt idx="7">
                  <c:v>1075.4000000000001</c:v>
                </c:pt>
                <c:pt idx="8">
                  <c:v>1075.4000000000001</c:v>
                </c:pt>
                <c:pt idx="9">
                  <c:v>1075.4000000000001</c:v>
                </c:pt>
                <c:pt idx="10">
                  <c:v>1075.4000000000001</c:v>
                </c:pt>
                <c:pt idx="11">
                  <c:v>1075.4000000000001</c:v>
                </c:pt>
                <c:pt idx="12">
                  <c:v>1075.4000000000001</c:v>
                </c:pt>
                <c:pt idx="13">
                  <c:v>1075.4000000000001</c:v>
                </c:pt>
                <c:pt idx="14">
                  <c:v>1075.4000000000001</c:v>
                </c:pt>
                <c:pt idx="15">
                  <c:v>1075.4000000000001</c:v>
                </c:pt>
                <c:pt idx="16">
                  <c:v>1075.4000000000001</c:v>
                </c:pt>
                <c:pt idx="17">
                  <c:v>1075.4000000000001</c:v>
                </c:pt>
                <c:pt idx="18">
                  <c:v>1075.4000000000001</c:v>
                </c:pt>
                <c:pt idx="19">
                  <c:v>1075.4000000000001</c:v>
                </c:pt>
                <c:pt idx="20">
                  <c:v>1075.4000000000001</c:v>
                </c:pt>
                <c:pt idx="21">
                  <c:v>1075.4000000000001</c:v>
                </c:pt>
                <c:pt idx="22">
                  <c:v>1075.4000000000001</c:v>
                </c:pt>
                <c:pt idx="23">
                  <c:v>1075.4000000000001</c:v>
                </c:pt>
                <c:pt idx="24">
                  <c:v>1075.4000000000001</c:v>
                </c:pt>
                <c:pt idx="25">
                  <c:v>1075.4000000000001</c:v>
                </c:pt>
                <c:pt idx="26">
                  <c:v>1075.4000000000001</c:v>
                </c:pt>
                <c:pt idx="27">
                  <c:v>1075.4000000000001</c:v>
                </c:pt>
                <c:pt idx="28">
                  <c:v>1075.4000000000001</c:v>
                </c:pt>
                <c:pt idx="29">
                  <c:v>1075.4000000000001</c:v>
                </c:pt>
                <c:pt idx="30">
                  <c:v>1075.4000000000001</c:v>
                </c:pt>
                <c:pt idx="31">
                  <c:v>1075.4000000000001</c:v>
                </c:pt>
                <c:pt idx="32">
                  <c:v>1075.4000000000001</c:v>
                </c:pt>
                <c:pt idx="33">
                  <c:v>1075.4000000000001</c:v>
                </c:pt>
                <c:pt idx="34">
                  <c:v>1075.4000000000001</c:v>
                </c:pt>
                <c:pt idx="35">
                  <c:v>1075.4000000000001</c:v>
                </c:pt>
                <c:pt idx="36">
                  <c:v>1075.4000000000001</c:v>
                </c:pt>
                <c:pt idx="37">
                  <c:v>1075.4000000000001</c:v>
                </c:pt>
                <c:pt idx="38">
                  <c:v>1075.4000000000001</c:v>
                </c:pt>
                <c:pt idx="39">
                  <c:v>1075.4000000000001</c:v>
                </c:pt>
                <c:pt idx="40">
                  <c:v>1075.4000000000001</c:v>
                </c:pt>
                <c:pt idx="41">
                  <c:v>1075.4000000000001</c:v>
                </c:pt>
                <c:pt idx="42">
                  <c:v>1075.4000000000001</c:v>
                </c:pt>
                <c:pt idx="43">
                  <c:v>1075.4000000000001</c:v>
                </c:pt>
                <c:pt idx="44">
                  <c:v>1075.4000000000001</c:v>
                </c:pt>
                <c:pt idx="45">
                  <c:v>1075.4000000000001</c:v>
                </c:pt>
                <c:pt idx="46">
                  <c:v>1075.4000000000001</c:v>
                </c:pt>
                <c:pt idx="47">
                  <c:v>1075.4000000000001</c:v>
                </c:pt>
                <c:pt idx="48">
                  <c:v>1075.4000000000001</c:v>
                </c:pt>
                <c:pt idx="49">
                  <c:v>1075.4000000000001</c:v>
                </c:pt>
                <c:pt idx="50">
                  <c:v>1075.4000000000001</c:v>
                </c:pt>
                <c:pt idx="51">
                  <c:v>1075.4000000000001</c:v>
                </c:pt>
                <c:pt idx="52">
                  <c:v>1075.4000000000001</c:v>
                </c:pt>
                <c:pt idx="53">
                  <c:v>1075.4000000000001</c:v>
                </c:pt>
                <c:pt idx="54">
                  <c:v>1075.4000000000001</c:v>
                </c:pt>
                <c:pt idx="55">
                  <c:v>1075.4000000000001</c:v>
                </c:pt>
                <c:pt idx="56">
                  <c:v>1075.4000000000001</c:v>
                </c:pt>
                <c:pt idx="57">
                  <c:v>1075.4000000000001</c:v>
                </c:pt>
                <c:pt idx="58">
                  <c:v>1075.4000000000001</c:v>
                </c:pt>
                <c:pt idx="59">
                  <c:v>1075.4000000000001</c:v>
                </c:pt>
                <c:pt idx="60">
                  <c:v>1075.4000000000001</c:v>
                </c:pt>
                <c:pt idx="61">
                  <c:v>1075.4000000000001</c:v>
                </c:pt>
              </c:numCache>
            </c:numRef>
          </c:val>
          <c:smooth val="0"/>
        </c:ser>
        <c:ser>
          <c:idx val="3"/>
          <c:order val="3"/>
          <c:tx>
            <c:v>data</c:v>
          </c:tx>
          <c:spPr>
            <a:ln>
              <a:solidFill>
                <a:schemeClr val="accent1"/>
              </a:solidFill>
            </a:ln>
          </c:spPr>
          <c:marker>
            <c:symbol val="circle"/>
            <c:size val="4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cat>
            <c:multiLvlStrRef>
              <c:f>[0]!G13_XValues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[0]!G13_Data</c:f>
              <c:numCache>
                <c:formatCode>General</c:formatCode>
                <c:ptCount val="62"/>
                <c:pt idx="0">
                  <c:v>1069.3499999999999</c:v>
                </c:pt>
                <c:pt idx="1">
                  <c:v>1068.97</c:v>
                </c:pt>
                <c:pt idx="2">
                  <c:v>1069.06</c:v>
                </c:pt>
                <c:pt idx="3">
                  <c:v>1069.3</c:v>
                </c:pt>
                <c:pt idx="4">
                  <c:v>1068.8</c:v>
                </c:pt>
                <c:pt idx="5">
                  <c:v>1069</c:v>
                </c:pt>
                <c:pt idx="6">
                  <c:v>1068.9000000000001</c:v>
                </c:pt>
                <c:pt idx="7">
                  <c:v>1069.4000000000001</c:v>
                </c:pt>
                <c:pt idx="8">
                  <c:v>1068.9000000000001</c:v>
                </c:pt>
                <c:pt idx="9">
                  <c:v>1069.1199999999999</c:v>
                </c:pt>
                <c:pt idx="10">
                  <c:v>1068.95</c:v>
                </c:pt>
                <c:pt idx="11">
                  <c:v>1069.06</c:v>
                </c:pt>
                <c:pt idx="12">
                  <c:v>1069.3499999999999</c:v>
                </c:pt>
                <c:pt idx="13">
                  <c:v>1069.3800000000001</c:v>
                </c:pt>
                <c:pt idx="14">
                  <c:v>1069.21</c:v>
                </c:pt>
                <c:pt idx="15">
                  <c:v>1069.2</c:v>
                </c:pt>
                <c:pt idx="16">
                  <c:v>1069.29</c:v>
                </c:pt>
                <c:pt idx="17">
                  <c:v>1069.52</c:v>
                </c:pt>
                <c:pt idx="18">
                  <c:v>1068.9000000000001</c:v>
                </c:pt>
                <c:pt idx="19">
                  <c:v>1069.2</c:v>
                </c:pt>
                <c:pt idx="20">
                  <c:v>1069.2</c:v>
                </c:pt>
                <c:pt idx="21">
                  <c:v>1069.19</c:v>
                </c:pt>
                <c:pt idx="22">
                  <c:v>1069</c:v>
                </c:pt>
                <c:pt idx="23">
                  <c:v>1069.4000000000001</c:v>
                </c:pt>
                <c:pt idx="24">
                  <c:v>1069.0999999999999</c:v>
                </c:pt>
                <c:pt idx="25">
                  <c:v>1069</c:v>
                </c:pt>
                <c:pt idx="26">
                  <c:v>1069.2</c:v>
                </c:pt>
                <c:pt idx="27">
                  <c:v>1068.99</c:v>
                </c:pt>
                <c:pt idx="28">
                  <c:v>1069.02</c:v>
                </c:pt>
                <c:pt idx="29">
                  <c:v>1069.02</c:v>
                </c:pt>
                <c:pt idx="30">
                  <c:v>1068.99</c:v>
                </c:pt>
                <c:pt idx="31">
                  <c:v>1069.6500000000001</c:v>
                </c:pt>
                <c:pt idx="32">
                  <c:v>1068.6500000000001</c:v>
                </c:pt>
                <c:pt idx="33">
                  <c:v>1069.3499999999999</c:v>
                </c:pt>
                <c:pt idx="34">
                  <c:v>1069.4000000000001</c:v>
                </c:pt>
                <c:pt idx="35">
                  <c:v>1069</c:v>
                </c:pt>
                <c:pt idx="36">
                  <c:v>1069.28</c:v>
                </c:pt>
                <c:pt idx="37">
                  <c:v>1068.71</c:v>
                </c:pt>
                <c:pt idx="38">
                  <c:v>1068.79</c:v>
                </c:pt>
                <c:pt idx="39">
                  <c:v>1069.1400000000001</c:v>
                </c:pt>
                <c:pt idx="40">
                  <c:v>1069.05</c:v>
                </c:pt>
                <c:pt idx="41">
                  <c:v>1069.01</c:v>
                </c:pt>
                <c:pt idx="42">
                  <c:v>1068.95</c:v>
                </c:pt>
                <c:pt idx="43">
                  <c:v>1069.0999999999999</c:v>
                </c:pt>
                <c:pt idx="44">
                  <c:v>1068.93</c:v>
                </c:pt>
                <c:pt idx="45">
                  <c:v>1069.31</c:v>
                </c:pt>
                <c:pt idx="46">
                  <c:v>1069.01</c:v>
                </c:pt>
                <c:pt idx="47">
                  <c:v>1069.04</c:v>
                </c:pt>
                <c:pt idx="48">
                  <c:v>1069.06</c:v>
                </c:pt>
                <c:pt idx="49">
                  <c:v>1068.98</c:v>
                </c:pt>
                <c:pt idx="50">
                  <c:v>1069.26</c:v>
                </c:pt>
                <c:pt idx="51">
                  <c:v>1069.21</c:v>
                </c:pt>
                <c:pt idx="52">
                  <c:v>1068.44</c:v>
                </c:pt>
                <c:pt idx="53">
                  <c:v>1068.9100000000001</c:v>
                </c:pt>
                <c:pt idx="54">
                  <c:v>1069.0999999999999</c:v>
                </c:pt>
                <c:pt idx="55">
                  <c:v>1068.9000000000001</c:v>
                </c:pt>
                <c:pt idx="56">
                  <c:v>1069.19</c:v>
                </c:pt>
                <c:pt idx="57">
                  <c:v>1068.96</c:v>
                </c:pt>
                <c:pt idx="58">
                  <c:v>1069</c:v>
                </c:pt>
                <c:pt idx="59">
                  <c:v>1068.72</c:v>
                </c:pt>
                <c:pt idx="60">
                  <c:v>1068.6099999999999</c:v>
                </c:pt>
                <c:pt idx="61">
                  <c:v>1069.0899999999999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973760"/>
        <c:axId val="79975936"/>
      </c:lineChart>
      <c:catAx>
        <c:axId val="79973760"/>
        <c:scaling>
          <c:orientation val="minMax"/>
        </c:scaling>
        <c:delete val="1"/>
        <c:axPos val="b"/>
        <c:majorTickMark val="out"/>
        <c:minorTickMark val="none"/>
        <c:tickLblPos val="nextTo"/>
        <c:crossAx val="79975936"/>
        <c:crosses val="autoZero"/>
        <c:auto val="0"/>
        <c:lblAlgn val="ctr"/>
        <c:lblOffset val="100"/>
        <c:noMultiLvlLbl val="1"/>
      </c:catAx>
      <c:valAx>
        <c:axId val="799759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9973760"/>
        <c:crosses val="autoZero"/>
        <c:crossBetween val="midCat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nominal</c:v>
          </c:tx>
          <c:spPr>
            <a:ln>
              <a:solidFill>
                <a:srgbClr val="92D050"/>
              </a:solidFill>
            </a:ln>
          </c:spPr>
          <c:marker>
            <c:symbol val="none"/>
          </c:marker>
          <c:cat>
            <c:multiLvlStrRef>
              <c:f>[0]!G14_XValues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[0]!G14_Nominal</c:f>
              <c:numCache>
                <c:formatCode>General</c:formatCode>
                <c:ptCount val="62"/>
                <c:pt idx="0">
                  <c:v>420</c:v>
                </c:pt>
                <c:pt idx="1">
                  <c:v>420</c:v>
                </c:pt>
                <c:pt idx="2">
                  <c:v>420</c:v>
                </c:pt>
                <c:pt idx="3">
                  <c:v>420</c:v>
                </c:pt>
                <c:pt idx="4">
                  <c:v>420</c:v>
                </c:pt>
                <c:pt idx="5">
                  <c:v>420</c:v>
                </c:pt>
                <c:pt idx="6">
                  <c:v>420</c:v>
                </c:pt>
                <c:pt idx="7">
                  <c:v>420</c:v>
                </c:pt>
                <c:pt idx="8">
                  <c:v>420</c:v>
                </c:pt>
                <c:pt idx="9">
                  <c:v>420</c:v>
                </c:pt>
                <c:pt idx="10">
                  <c:v>420</c:v>
                </c:pt>
                <c:pt idx="11">
                  <c:v>420</c:v>
                </c:pt>
                <c:pt idx="12">
                  <c:v>420</c:v>
                </c:pt>
                <c:pt idx="13">
                  <c:v>420</c:v>
                </c:pt>
                <c:pt idx="14">
                  <c:v>420</c:v>
                </c:pt>
                <c:pt idx="15">
                  <c:v>420</c:v>
                </c:pt>
                <c:pt idx="16">
                  <c:v>420</c:v>
                </c:pt>
                <c:pt idx="17">
                  <c:v>420</c:v>
                </c:pt>
                <c:pt idx="18">
                  <c:v>420</c:v>
                </c:pt>
                <c:pt idx="19">
                  <c:v>420</c:v>
                </c:pt>
                <c:pt idx="20">
                  <c:v>420</c:v>
                </c:pt>
                <c:pt idx="21">
                  <c:v>420</c:v>
                </c:pt>
                <c:pt idx="22">
                  <c:v>420</c:v>
                </c:pt>
                <c:pt idx="23">
                  <c:v>420</c:v>
                </c:pt>
                <c:pt idx="24">
                  <c:v>420</c:v>
                </c:pt>
                <c:pt idx="25">
                  <c:v>420</c:v>
                </c:pt>
                <c:pt idx="26">
                  <c:v>420</c:v>
                </c:pt>
                <c:pt idx="27">
                  <c:v>420</c:v>
                </c:pt>
                <c:pt idx="28">
                  <c:v>420</c:v>
                </c:pt>
                <c:pt idx="29">
                  <c:v>420</c:v>
                </c:pt>
                <c:pt idx="30">
                  <c:v>420</c:v>
                </c:pt>
                <c:pt idx="31">
                  <c:v>420</c:v>
                </c:pt>
                <c:pt idx="32">
                  <c:v>420</c:v>
                </c:pt>
                <c:pt idx="33">
                  <c:v>420</c:v>
                </c:pt>
                <c:pt idx="34">
                  <c:v>420</c:v>
                </c:pt>
                <c:pt idx="35">
                  <c:v>420</c:v>
                </c:pt>
                <c:pt idx="36">
                  <c:v>420</c:v>
                </c:pt>
                <c:pt idx="37">
                  <c:v>420</c:v>
                </c:pt>
                <c:pt idx="38">
                  <c:v>420</c:v>
                </c:pt>
                <c:pt idx="39">
                  <c:v>420</c:v>
                </c:pt>
                <c:pt idx="40">
                  <c:v>420</c:v>
                </c:pt>
                <c:pt idx="41">
                  <c:v>420</c:v>
                </c:pt>
                <c:pt idx="42">
                  <c:v>420</c:v>
                </c:pt>
                <c:pt idx="43">
                  <c:v>420</c:v>
                </c:pt>
                <c:pt idx="44">
                  <c:v>420</c:v>
                </c:pt>
                <c:pt idx="45">
                  <c:v>420</c:v>
                </c:pt>
                <c:pt idx="46">
                  <c:v>420</c:v>
                </c:pt>
                <c:pt idx="47">
                  <c:v>420</c:v>
                </c:pt>
                <c:pt idx="48">
                  <c:v>420</c:v>
                </c:pt>
                <c:pt idx="49">
                  <c:v>420</c:v>
                </c:pt>
                <c:pt idx="50">
                  <c:v>420</c:v>
                </c:pt>
                <c:pt idx="51">
                  <c:v>420</c:v>
                </c:pt>
                <c:pt idx="52">
                  <c:v>420</c:v>
                </c:pt>
                <c:pt idx="53">
                  <c:v>420</c:v>
                </c:pt>
                <c:pt idx="54">
                  <c:v>420</c:v>
                </c:pt>
                <c:pt idx="55">
                  <c:v>420</c:v>
                </c:pt>
                <c:pt idx="56">
                  <c:v>420</c:v>
                </c:pt>
                <c:pt idx="57">
                  <c:v>420</c:v>
                </c:pt>
                <c:pt idx="58">
                  <c:v>420</c:v>
                </c:pt>
                <c:pt idx="59">
                  <c:v>420</c:v>
                </c:pt>
                <c:pt idx="60">
                  <c:v>420</c:v>
                </c:pt>
                <c:pt idx="61">
                  <c:v>420</c:v>
                </c:pt>
              </c:numCache>
            </c:numRef>
          </c:val>
          <c:smooth val="0"/>
        </c:ser>
        <c:ser>
          <c:idx val="1"/>
          <c:order val="1"/>
          <c:tx>
            <c:v>lie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[0]!G14_XValues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[0]!G14_Lie</c:f>
              <c:numCache>
                <c:formatCode>General</c:formatCode>
                <c:ptCount val="62"/>
                <c:pt idx="0">
                  <c:v>416</c:v>
                </c:pt>
                <c:pt idx="1">
                  <c:v>416</c:v>
                </c:pt>
                <c:pt idx="2">
                  <c:v>416</c:v>
                </c:pt>
                <c:pt idx="3">
                  <c:v>416</c:v>
                </c:pt>
                <c:pt idx="4">
                  <c:v>416</c:v>
                </c:pt>
                <c:pt idx="5">
                  <c:v>416</c:v>
                </c:pt>
                <c:pt idx="6">
                  <c:v>416</c:v>
                </c:pt>
                <c:pt idx="7">
                  <c:v>416</c:v>
                </c:pt>
                <c:pt idx="8">
                  <c:v>416</c:v>
                </c:pt>
                <c:pt idx="9">
                  <c:v>416</c:v>
                </c:pt>
                <c:pt idx="10">
                  <c:v>416</c:v>
                </c:pt>
                <c:pt idx="11">
                  <c:v>416</c:v>
                </c:pt>
                <c:pt idx="12">
                  <c:v>416</c:v>
                </c:pt>
                <c:pt idx="13">
                  <c:v>416</c:v>
                </c:pt>
                <c:pt idx="14">
                  <c:v>416</c:v>
                </c:pt>
                <c:pt idx="15">
                  <c:v>416</c:v>
                </c:pt>
                <c:pt idx="16">
                  <c:v>416</c:v>
                </c:pt>
                <c:pt idx="17">
                  <c:v>416</c:v>
                </c:pt>
                <c:pt idx="18">
                  <c:v>416</c:v>
                </c:pt>
                <c:pt idx="19">
                  <c:v>416</c:v>
                </c:pt>
                <c:pt idx="20">
                  <c:v>416</c:v>
                </c:pt>
                <c:pt idx="21">
                  <c:v>416</c:v>
                </c:pt>
                <c:pt idx="22">
                  <c:v>416</c:v>
                </c:pt>
                <c:pt idx="23">
                  <c:v>416</c:v>
                </c:pt>
                <c:pt idx="24">
                  <c:v>416</c:v>
                </c:pt>
                <c:pt idx="25">
                  <c:v>416</c:v>
                </c:pt>
                <c:pt idx="26">
                  <c:v>416</c:v>
                </c:pt>
                <c:pt idx="27">
                  <c:v>416</c:v>
                </c:pt>
                <c:pt idx="28">
                  <c:v>416</c:v>
                </c:pt>
                <c:pt idx="29">
                  <c:v>416</c:v>
                </c:pt>
                <c:pt idx="30">
                  <c:v>416</c:v>
                </c:pt>
                <c:pt idx="31">
                  <c:v>416</c:v>
                </c:pt>
                <c:pt idx="32">
                  <c:v>416</c:v>
                </c:pt>
                <c:pt idx="33">
                  <c:v>416</c:v>
                </c:pt>
                <c:pt idx="34">
                  <c:v>416</c:v>
                </c:pt>
                <c:pt idx="35">
                  <c:v>416</c:v>
                </c:pt>
                <c:pt idx="36">
                  <c:v>416</c:v>
                </c:pt>
                <c:pt idx="37">
                  <c:v>416</c:v>
                </c:pt>
                <c:pt idx="38">
                  <c:v>416</c:v>
                </c:pt>
                <c:pt idx="39">
                  <c:v>416</c:v>
                </c:pt>
                <c:pt idx="40">
                  <c:v>416</c:v>
                </c:pt>
                <c:pt idx="41">
                  <c:v>416</c:v>
                </c:pt>
                <c:pt idx="42">
                  <c:v>416</c:v>
                </c:pt>
                <c:pt idx="43">
                  <c:v>416</c:v>
                </c:pt>
                <c:pt idx="44">
                  <c:v>416</c:v>
                </c:pt>
                <c:pt idx="45">
                  <c:v>416</c:v>
                </c:pt>
                <c:pt idx="46">
                  <c:v>416</c:v>
                </c:pt>
                <c:pt idx="47">
                  <c:v>416</c:v>
                </c:pt>
                <c:pt idx="48">
                  <c:v>416</c:v>
                </c:pt>
                <c:pt idx="49">
                  <c:v>416</c:v>
                </c:pt>
                <c:pt idx="50">
                  <c:v>416</c:v>
                </c:pt>
                <c:pt idx="51">
                  <c:v>416</c:v>
                </c:pt>
                <c:pt idx="52">
                  <c:v>416</c:v>
                </c:pt>
                <c:pt idx="53">
                  <c:v>416</c:v>
                </c:pt>
                <c:pt idx="54">
                  <c:v>416</c:v>
                </c:pt>
                <c:pt idx="55">
                  <c:v>416</c:v>
                </c:pt>
                <c:pt idx="56">
                  <c:v>416</c:v>
                </c:pt>
                <c:pt idx="57">
                  <c:v>416</c:v>
                </c:pt>
                <c:pt idx="58">
                  <c:v>416</c:v>
                </c:pt>
                <c:pt idx="59">
                  <c:v>416</c:v>
                </c:pt>
                <c:pt idx="60">
                  <c:v>416</c:v>
                </c:pt>
                <c:pt idx="61">
                  <c:v>416</c:v>
                </c:pt>
              </c:numCache>
            </c:numRef>
          </c:val>
          <c:smooth val="0"/>
        </c:ser>
        <c:ser>
          <c:idx val="2"/>
          <c:order val="2"/>
          <c:tx>
            <c:v>lse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[0]!G14_XValues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[0]!G14_Lse</c:f>
              <c:numCache>
                <c:formatCode>General</c:formatCode>
                <c:ptCount val="62"/>
                <c:pt idx="0">
                  <c:v>424</c:v>
                </c:pt>
                <c:pt idx="1">
                  <c:v>424</c:v>
                </c:pt>
                <c:pt idx="2">
                  <c:v>424</c:v>
                </c:pt>
                <c:pt idx="3">
                  <c:v>424</c:v>
                </c:pt>
                <c:pt idx="4">
                  <c:v>424</c:v>
                </c:pt>
                <c:pt idx="5">
                  <c:v>424</c:v>
                </c:pt>
                <c:pt idx="6">
                  <c:v>424</c:v>
                </c:pt>
                <c:pt idx="7">
                  <c:v>424</c:v>
                </c:pt>
                <c:pt idx="8">
                  <c:v>424</c:v>
                </c:pt>
                <c:pt idx="9">
                  <c:v>424</c:v>
                </c:pt>
                <c:pt idx="10">
                  <c:v>424</c:v>
                </c:pt>
                <c:pt idx="11">
                  <c:v>424</c:v>
                </c:pt>
                <c:pt idx="12">
                  <c:v>424</c:v>
                </c:pt>
                <c:pt idx="13">
                  <c:v>424</c:v>
                </c:pt>
                <c:pt idx="14">
                  <c:v>424</c:v>
                </c:pt>
                <c:pt idx="15">
                  <c:v>424</c:v>
                </c:pt>
                <c:pt idx="16">
                  <c:v>424</c:v>
                </c:pt>
                <c:pt idx="17">
                  <c:v>424</c:v>
                </c:pt>
                <c:pt idx="18">
                  <c:v>424</c:v>
                </c:pt>
                <c:pt idx="19">
                  <c:v>424</c:v>
                </c:pt>
                <c:pt idx="20">
                  <c:v>424</c:v>
                </c:pt>
                <c:pt idx="21">
                  <c:v>424</c:v>
                </c:pt>
                <c:pt idx="22">
                  <c:v>424</c:v>
                </c:pt>
                <c:pt idx="23">
                  <c:v>424</c:v>
                </c:pt>
                <c:pt idx="24">
                  <c:v>424</c:v>
                </c:pt>
                <c:pt idx="25">
                  <c:v>424</c:v>
                </c:pt>
                <c:pt idx="26">
                  <c:v>424</c:v>
                </c:pt>
                <c:pt idx="27">
                  <c:v>424</c:v>
                </c:pt>
                <c:pt idx="28">
                  <c:v>424</c:v>
                </c:pt>
                <c:pt idx="29">
                  <c:v>424</c:v>
                </c:pt>
                <c:pt idx="30">
                  <c:v>424</c:v>
                </c:pt>
                <c:pt idx="31">
                  <c:v>424</c:v>
                </c:pt>
                <c:pt idx="32">
                  <c:v>424</c:v>
                </c:pt>
                <c:pt idx="33">
                  <c:v>424</c:v>
                </c:pt>
                <c:pt idx="34">
                  <c:v>424</c:v>
                </c:pt>
                <c:pt idx="35">
                  <c:v>424</c:v>
                </c:pt>
                <c:pt idx="36">
                  <c:v>424</c:v>
                </c:pt>
                <c:pt idx="37">
                  <c:v>424</c:v>
                </c:pt>
                <c:pt idx="38">
                  <c:v>424</c:v>
                </c:pt>
                <c:pt idx="39">
                  <c:v>424</c:v>
                </c:pt>
                <c:pt idx="40">
                  <c:v>424</c:v>
                </c:pt>
                <c:pt idx="41">
                  <c:v>424</c:v>
                </c:pt>
                <c:pt idx="42">
                  <c:v>424</c:v>
                </c:pt>
                <c:pt idx="43">
                  <c:v>424</c:v>
                </c:pt>
                <c:pt idx="44">
                  <c:v>424</c:v>
                </c:pt>
                <c:pt idx="45">
                  <c:v>424</c:v>
                </c:pt>
                <c:pt idx="46">
                  <c:v>424</c:v>
                </c:pt>
                <c:pt idx="47">
                  <c:v>424</c:v>
                </c:pt>
                <c:pt idx="48">
                  <c:v>424</c:v>
                </c:pt>
                <c:pt idx="49">
                  <c:v>424</c:v>
                </c:pt>
                <c:pt idx="50">
                  <c:v>424</c:v>
                </c:pt>
                <c:pt idx="51">
                  <c:v>424</c:v>
                </c:pt>
                <c:pt idx="52">
                  <c:v>424</c:v>
                </c:pt>
                <c:pt idx="53">
                  <c:v>424</c:v>
                </c:pt>
                <c:pt idx="54">
                  <c:v>424</c:v>
                </c:pt>
                <c:pt idx="55">
                  <c:v>424</c:v>
                </c:pt>
                <c:pt idx="56">
                  <c:v>424</c:v>
                </c:pt>
                <c:pt idx="57">
                  <c:v>424</c:v>
                </c:pt>
                <c:pt idx="58">
                  <c:v>424</c:v>
                </c:pt>
                <c:pt idx="59">
                  <c:v>424</c:v>
                </c:pt>
                <c:pt idx="60">
                  <c:v>424</c:v>
                </c:pt>
                <c:pt idx="61">
                  <c:v>424</c:v>
                </c:pt>
              </c:numCache>
            </c:numRef>
          </c:val>
          <c:smooth val="0"/>
        </c:ser>
        <c:ser>
          <c:idx val="3"/>
          <c:order val="3"/>
          <c:tx>
            <c:v>data</c:v>
          </c:tx>
          <c:spPr>
            <a:ln>
              <a:solidFill>
                <a:schemeClr val="accent1"/>
              </a:solidFill>
            </a:ln>
          </c:spPr>
          <c:marker>
            <c:symbol val="circle"/>
            <c:size val="4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cat>
            <c:multiLvlStrRef>
              <c:f>[0]!G14_XValues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[0]!G14_Data</c:f>
              <c:numCache>
                <c:formatCode>General</c:formatCode>
                <c:ptCount val="62"/>
                <c:pt idx="0">
                  <c:v>419.9</c:v>
                </c:pt>
                <c:pt idx="1">
                  <c:v>421.94</c:v>
                </c:pt>
                <c:pt idx="2">
                  <c:v>420.6</c:v>
                </c:pt>
                <c:pt idx="3">
                  <c:v>421.9</c:v>
                </c:pt>
                <c:pt idx="4">
                  <c:v>419.8</c:v>
                </c:pt>
                <c:pt idx="5">
                  <c:v>421.4</c:v>
                </c:pt>
                <c:pt idx="6">
                  <c:v>419.3</c:v>
                </c:pt>
                <c:pt idx="7">
                  <c:v>422.1</c:v>
                </c:pt>
                <c:pt idx="8">
                  <c:v>422.2</c:v>
                </c:pt>
                <c:pt idx="9">
                  <c:v>421.66</c:v>
                </c:pt>
                <c:pt idx="10">
                  <c:v>420.29</c:v>
                </c:pt>
                <c:pt idx="11">
                  <c:v>421.82</c:v>
                </c:pt>
                <c:pt idx="12">
                  <c:v>422.23</c:v>
                </c:pt>
                <c:pt idx="13">
                  <c:v>421.5</c:v>
                </c:pt>
                <c:pt idx="14">
                  <c:v>421.09</c:v>
                </c:pt>
                <c:pt idx="15">
                  <c:v>420.49</c:v>
                </c:pt>
                <c:pt idx="16">
                  <c:v>420.79</c:v>
                </c:pt>
                <c:pt idx="17">
                  <c:v>420.69</c:v>
                </c:pt>
                <c:pt idx="18">
                  <c:v>421.5</c:v>
                </c:pt>
                <c:pt idx="19">
                  <c:v>420.9</c:v>
                </c:pt>
                <c:pt idx="20">
                  <c:v>421.7</c:v>
                </c:pt>
                <c:pt idx="21">
                  <c:v>419.96</c:v>
                </c:pt>
                <c:pt idx="22">
                  <c:v>421.8</c:v>
                </c:pt>
                <c:pt idx="23">
                  <c:v>421.5</c:v>
                </c:pt>
                <c:pt idx="24">
                  <c:v>422.1</c:v>
                </c:pt>
                <c:pt idx="25">
                  <c:v>420.91</c:v>
                </c:pt>
                <c:pt idx="26">
                  <c:v>421.57</c:v>
                </c:pt>
                <c:pt idx="27">
                  <c:v>420.2</c:v>
                </c:pt>
                <c:pt idx="28">
                  <c:v>421.33</c:v>
                </c:pt>
                <c:pt idx="29">
                  <c:v>421.34</c:v>
                </c:pt>
                <c:pt idx="30">
                  <c:v>421.51</c:v>
                </c:pt>
                <c:pt idx="31">
                  <c:v>420.54</c:v>
                </c:pt>
                <c:pt idx="32">
                  <c:v>420.95</c:v>
                </c:pt>
                <c:pt idx="33">
                  <c:v>421.52</c:v>
                </c:pt>
                <c:pt idx="34">
                  <c:v>421.8</c:v>
                </c:pt>
                <c:pt idx="35">
                  <c:v>422.09</c:v>
                </c:pt>
                <c:pt idx="36">
                  <c:v>419.84</c:v>
                </c:pt>
                <c:pt idx="37">
                  <c:v>421.22</c:v>
                </c:pt>
                <c:pt idx="38">
                  <c:v>420.96</c:v>
                </c:pt>
                <c:pt idx="39">
                  <c:v>421.22</c:v>
                </c:pt>
                <c:pt idx="40">
                  <c:v>420.98</c:v>
                </c:pt>
                <c:pt idx="41">
                  <c:v>421.62</c:v>
                </c:pt>
                <c:pt idx="42">
                  <c:v>421.37</c:v>
                </c:pt>
                <c:pt idx="43">
                  <c:v>422.2</c:v>
                </c:pt>
                <c:pt idx="44">
                  <c:v>422.02</c:v>
                </c:pt>
                <c:pt idx="45">
                  <c:v>422.52</c:v>
                </c:pt>
                <c:pt idx="46">
                  <c:v>419.99</c:v>
                </c:pt>
                <c:pt idx="47">
                  <c:v>422.28</c:v>
                </c:pt>
                <c:pt idx="48">
                  <c:v>421.27</c:v>
                </c:pt>
                <c:pt idx="49">
                  <c:v>422.23</c:v>
                </c:pt>
                <c:pt idx="50">
                  <c:v>422.6</c:v>
                </c:pt>
                <c:pt idx="51">
                  <c:v>421.16</c:v>
                </c:pt>
                <c:pt idx="52">
                  <c:v>421.54</c:v>
                </c:pt>
                <c:pt idx="53">
                  <c:v>421</c:v>
                </c:pt>
                <c:pt idx="54">
                  <c:v>422.02</c:v>
                </c:pt>
                <c:pt idx="55">
                  <c:v>422.3</c:v>
                </c:pt>
                <c:pt idx="56">
                  <c:v>420.75</c:v>
                </c:pt>
                <c:pt idx="57">
                  <c:v>421.7</c:v>
                </c:pt>
                <c:pt idx="58">
                  <c:v>421.91</c:v>
                </c:pt>
                <c:pt idx="59">
                  <c:v>421.84</c:v>
                </c:pt>
                <c:pt idx="60">
                  <c:v>420.1</c:v>
                </c:pt>
                <c:pt idx="61">
                  <c:v>421.46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56736"/>
        <c:axId val="81158912"/>
      </c:lineChart>
      <c:catAx>
        <c:axId val="81156736"/>
        <c:scaling>
          <c:orientation val="minMax"/>
        </c:scaling>
        <c:delete val="1"/>
        <c:axPos val="b"/>
        <c:majorTickMark val="out"/>
        <c:minorTickMark val="none"/>
        <c:tickLblPos val="nextTo"/>
        <c:crossAx val="81158912"/>
        <c:crosses val="autoZero"/>
        <c:auto val="0"/>
        <c:lblAlgn val="ctr"/>
        <c:lblOffset val="100"/>
        <c:noMultiLvlLbl val="1"/>
      </c:catAx>
      <c:valAx>
        <c:axId val="811589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1156736"/>
        <c:crosses val="autoZero"/>
        <c:crossBetween val="midCat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nominal</c:v>
          </c:tx>
          <c:spPr>
            <a:ln>
              <a:solidFill>
                <a:srgbClr val="92D050"/>
              </a:solidFill>
            </a:ln>
          </c:spPr>
          <c:marker>
            <c:symbol val="none"/>
          </c:marker>
          <c:cat>
            <c:multiLvlStrRef>
              <c:f>[0]!G15_XValues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[0]!G15_Nominal</c:f>
              <c:numCache>
                <c:formatCode>General</c:formatCode>
                <c:ptCount val="62"/>
                <c:pt idx="0">
                  <c:v>459.6</c:v>
                </c:pt>
                <c:pt idx="1">
                  <c:v>459.6</c:v>
                </c:pt>
                <c:pt idx="2">
                  <c:v>459.6</c:v>
                </c:pt>
                <c:pt idx="3">
                  <c:v>459.6</c:v>
                </c:pt>
                <c:pt idx="4">
                  <c:v>459.6</c:v>
                </c:pt>
                <c:pt idx="5">
                  <c:v>459.6</c:v>
                </c:pt>
                <c:pt idx="6">
                  <c:v>459.6</c:v>
                </c:pt>
                <c:pt idx="7">
                  <c:v>459.6</c:v>
                </c:pt>
                <c:pt idx="8">
                  <c:v>459.6</c:v>
                </c:pt>
                <c:pt idx="9">
                  <c:v>459.6</c:v>
                </c:pt>
                <c:pt idx="10">
                  <c:v>459.6</c:v>
                </c:pt>
                <c:pt idx="11">
                  <c:v>459.6</c:v>
                </c:pt>
                <c:pt idx="12">
                  <c:v>459.6</c:v>
                </c:pt>
                <c:pt idx="13">
                  <c:v>459.6</c:v>
                </c:pt>
                <c:pt idx="14">
                  <c:v>459.6</c:v>
                </c:pt>
                <c:pt idx="15">
                  <c:v>459.6</c:v>
                </c:pt>
                <c:pt idx="16">
                  <c:v>459.6</c:v>
                </c:pt>
                <c:pt idx="17">
                  <c:v>459.6</c:v>
                </c:pt>
                <c:pt idx="18">
                  <c:v>459.6</c:v>
                </c:pt>
                <c:pt idx="19">
                  <c:v>459.6</c:v>
                </c:pt>
                <c:pt idx="20">
                  <c:v>459.6</c:v>
                </c:pt>
                <c:pt idx="21">
                  <c:v>459.6</c:v>
                </c:pt>
                <c:pt idx="22">
                  <c:v>459.6</c:v>
                </c:pt>
                <c:pt idx="23">
                  <c:v>459.6</c:v>
                </c:pt>
                <c:pt idx="24">
                  <c:v>459.6</c:v>
                </c:pt>
                <c:pt idx="25">
                  <c:v>459.6</c:v>
                </c:pt>
                <c:pt idx="26">
                  <c:v>459.6</c:v>
                </c:pt>
                <c:pt idx="27">
                  <c:v>459.6</c:v>
                </c:pt>
                <c:pt idx="28">
                  <c:v>459.6</c:v>
                </c:pt>
                <c:pt idx="29">
                  <c:v>459.6</c:v>
                </c:pt>
                <c:pt idx="30">
                  <c:v>459.6</c:v>
                </c:pt>
                <c:pt idx="31">
                  <c:v>459.6</c:v>
                </c:pt>
                <c:pt idx="32">
                  <c:v>459.6</c:v>
                </c:pt>
                <c:pt idx="33">
                  <c:v>459.6</c:v>
                </c:pt>
                <c:pt idx="34">
                  <c:v>459.6</c:v>
                </c:pt>
                <c:pt idx="35">
                  <c:v>459.6</c:v>
                </c:pt>
                <c:pt idx="36">
                  <c:v>459.6</c:v>
                </c:pt>
                <c:pt idx="37">
                  <c:v>459.6</c:v>
                </c:pt>
                <c:pt idx="38">
                  <c:v>459.6</c:v>
                </c:pt>
                <c:pt idx="39">
                  <c:v>459.6</c:v>
                </c:pt>
                <c:pt idx="40">
                  <c:v>459.6</c:v>
                </c:pt>
                <c:pt idx="41">
                  <c:v>459.6</c:v>
                </c:pt>
                <c:pt idx="42">
                  <c:v>459.6</c:v>
                </c:pt>
                <c:pt idx="43">
                  <c:v>459.6</c:v>
                </c:pt>
                <c:pt idx="44">
                  <c:v>459.6</c:v>
                </c:pt>
                <c:pt idx="45">
                  <c:v>459.6</c:v>
                </c:pt>
                <c:pt idx="46">
                  <c:v>459.6</c:v>
                </c:pt>
                <c:pt idx="47">
                  <c:v>459.6</c:v>
                </c:pt>
                <c:pt idx="48">
                  <c:v>459.6</c:v>
                </c:pt>
                <c:pt idx="49">
                  <c:v>459.6</c:v>
                </c:pt>
                <c:pt idx="50">
                  <c:v>459.6</c:v>
                </c:pt>
                <c:pt idx="51">
                  <c:v>459.6</c:v>
                </c:pt>
                <c:pt idx="52">
                  <c:v>459.6</c:v>
                </c:pt>
                <c:pt idx="53">
                  <c:v>459.6</c:v>
                </c:pt>
                <c:pt idx="54">
                  <c:v>459.6</c:v>
                </c:pt>
                <c:pt idx="55">
                  <c:v>459.6</c:v>
                </c:pt>
                <c:pt idx="56">
                  <c:v>459.6</c:v>
                </c:pt>
                <c:pt idx="57">
                  <c:v>459.6</c:v>
                </c:pt>
                <c:pt idx="58">
                  <c:v>459.6</c:v>
                </c:pt>
                <c:pt idx="59">
                  <c:v>459.6</c:v>
                </c:pt>
                <c:pt idx="60">
                  <c:v>459.6</c:v>
                </c:pt>
                <c:pt idx="61">
                  <c:v>459.6</c:v>
                </c:pt>
              </c:numCache>
            </c:numRef>
          </c:val>
          <c:smooth val="0"/>
        </c:ser>
        <c:ser>
          <c:idx val="1"/>
          <c:order val="1"/>
          <c:tx>
            <c:v>lie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[0]!G15_XValues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[0]!G15_Lie</c:f>
              <c:numCache>
                <c:formatCode>General</c:formatCode>
                <c:ptCount val="62"/>
                <c:pt idx="0">
                  <c:v>455.6</c:v>
                </c:pt>
                <c:pt idx="1">
                  <c:v>455.6</c:v>
                </c:pt>
                <c:pt idx="2">
                  <c:v>455.6</c:v>
                </c:pt>
                <c:pt idx="3">
                  <c:v>455.6</c:v>
                </c:pt>
                <c:pt idx="4">
                  <c:v>455.6</c:v>
                </c:pt>
                <c:pt idx="5">
                  <c:v>455.6</c:v>
                </c:pt>
                <c:pt idx="6">
                  <c:v>455.6</c:v>
                </c:pt>
                <c:pt idx="7">
                  <c:v>455.6</c:v>
                </c:pt>
                <c:pt idx="8">
                  <c:v>455.6</c:v>
                </c:pt>
                <c:pt idx="9">
                  <c:v>455.6</c:v>
                </c:pt>
                <c:pt idx="10">
                  <c:v>455.6</c:v>
                </c:pt>
                <c:pt idx="11">
                  <c:v>455.6</c:v>
                </c:pt>
                <c:pt idx="12">
                  <c:v>455.6</c:v>
                </c:pt>
                <c:pt idx="13">
                  <c:v>455.6</c:v>
                </c:pt>
                <c:pt idx="14">
                  <c:v>455.6</c:v>
                </c:pt>
                <c:pt idx="15">
                  <c:v>455.6</c:v>
                </c:pt>
                <c:pt idx="16">
                  <c:v>455.6</c:v>
                </c:pt>
                <c:pt idx="17">
                  <c:v>455.6</c:v>
                </c:pt>
                <c:pt idx="18">
                  <c:v>455.6</c:v>
                </c:pt>
                <c:pt idx="19">
                  <c:v>455.6</c:v>
                </c:pt>
                <c:pt idx="20">
                  <c:v>455.6</c:v>
                </c:pt>
                <c:pt idx="21">
                  <c:v>455.6</c:v>
                </c:pt>
                <c:pt idx="22">
                  <c:v>455.6</c:v>
                </c:pt>
                <c:pt idx="23">
                  <c:v>455.6</c:v>
                </c:pt>
                <c:pt idx="24">
                  <c:v>455.6</c:v>
                </c:pt>
                <c:pt idx="25">
                  <c:v>455.6</c:v>
                </c:pt>
                <c:pt idx="26">
                  <c:v>455.6</c:v>
                </c:pt>
                <c:pt idx="27">
                  <c:v>455.6</c:v>
                </c:pt>
                <c:pt idx="28">
                  <c:v>455.6</c:v>
                </c:pt>
                <c:pt idx="29">
                  <c:v>455.6</c:v>
                </c:pt>
                <c:pt idx="30">
                  <c:v>455.6</c:v>
                </c:pt>
                <c:pt idx="31">
                  <c:v>455.6</c:v>
                </c:pt>
                <c:pt idx="32">
                  <c:v>455.6</c:v>
                </c:pt>
                <c:pt idx="33">
                  <c:v>455.6</c:v>
                </c:pt>
                <c:pt idx="34">
                  <c:v>455.6</c:v>
                </c:pt>
                <c:pt idx="35">
                  <c:v>455.6</c:v>
                </c:pt>
                <c:pt idx="36">
                  <c:v>455.6</c:v>
                </c:pt>
                <c:pt idx="37">
                  <c:v>455.6</c:v>
                </c:pt>
                <c:pt idx="38">
                  <c:v>455.6</c:v>
                </c:pt>
                <c:pt idx="39">
                  <c:v>455.6</c:v>
                </c:pt>
                <c:pt idx="40">
                  <c:v>455.6</c:v>
                </c:pt>
                <c:pt idx="41">
                  <c:v>455.6</c:v>
                </c:pt>
                <c:pt idx="42">
                  <c:v>455.6</c:v>
                </c:pt>
                <c:pt idx="43">
                  <c:v>455.6</c:v>
                </c:pt>
                <c:pt idx="44">
                  <c:v>455.6</c:v>
                </c:pt>
                <c:pt idx="45">
                  <c:v>455.6</c:v>
                </c:pt>
                <c:pt idx="46">
                  <c:v>455.6</c:v>
                </c:pt>
                <c:pt idx="47">
                  <c:v>455.6</c:v>
                </c:pt>
                <c:pt idx="48">
                  <c:v>455.6</c:v>
                </c:pt>
                <c:pt idx="49">
                  <c:v>455.6</c:v>
                </c:pt>
                <c:pt idx="50">
                  <c:v>455.6</c:v>
                </c:pt>
                <c:pt idx="51">
                  <c:v>455.6</c:v>
                </c:pt>
                <c:pt idx="52">
                  <c:v>455.6</c:v>
                </c:pt>
                <c:pt idx="53">
                  <c:v>455.6</c:v>
                </c:pt>
                <c:pt idx="54">
                  <c:v>455.6</c:v>
                </c:pt>
                <c:pt idx="55">
                  <c:v>455.6</c:v>
                </c:pt>
                <c:pt idx="56">
                  <c:v>455.6</c:v>
                </c:pt>
                <c:pt idx="57">
                  <c:v>455.6</c:v>
                </c:pt>
                <c:pt idx="58">
                  <c:v>455.6</c:v>
                </c:pt>
                <c:pt idx="59">
                  <c:v>455.6</c:v>
                </c:pt>
                <c:pt idx="60">
                  <c:v>455.6</c:v>
                </c:pt>
                <c:pt idx="61">
                  <c:v>455.6</c:v>
                </c:pt>
              </c:numCache>
            </c:numRef>
          </c:val>
          <c:smooth val="0"/>
        </c:ser>
        <c:ser>
          <c:idx val="2"/>
          <c:order val="2"/>
          <c:tx>
            <c:v>lse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[0]!G15_XValues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[0]!G15_Lse</c:f>
              <c:numCache>
                <c:formatCode>General</c:formatCode>
                <c:ptCount val="62"/>
                <c:pt idx="0">
                  <c:v>463.6</c:v>
                </c:pt>
                <c:pt idx="1">
                  <c:v>463.6</c:v>
                </c:pt>
                <c:pt idx="2">
                  <c:v>463.6</c:v>
                </c:pt>
                <c:pt idx="3">
                  <c:v>463.6</c:v>
                </c:pt>
                <c:pt idx="4">
                  <c:v>463.6</c:v>
                </c:pt>
                <c:pt idx="5">
                  <c:v>463.6</c:v>
                </c:pt>
                <c:pt idx="6">
                  <c:v>463.6</c:v>
                </c:pt>
                <c:pt idx="7">
                  <c:v>463.6</c:v>
                </c:pt>
                <c:pt idx="8">
                  <c:v>463.6</c:v>
                </c:pt>
                <c:pt idx="9">
                  <c:v>463.6</c:v>
                </c:pt>
                <c:pt idx="10">
                  <c:v>463.6</c:v>
                </c:pt>
                <c:pt idx="11">
                  <c:v>463.6</c:v>
                </c:pt>
                <c:pt idx="12">
                  <c:v>463.6</c:v>
                </c:pt>
                <c:pt idx="13">
                  <c:v>463.6</c:v>
                </c:pt>
                <c:pt idx="14">
                  <c:v>463.6</c:v>
                </c:pt>
                <c:pt idx="15">
                  <c:v>463.6</c:v>
                </c:pt>
                <c:pt idx="16">
                  <c:v>463.6</c:v>
                </c:pt>
                <c:pt idx="17">
                  <c:v>463.6</c:v>
                </c:pt>
                <c:pt idx="18">
                  <c:v>463.6</c:v>
                </c:pt>
                <c:pt idx="19">
                  <c:v>463.6</c:v>
                </c:pt>
                <c:pt idx="20">
                  <c:v>463.6</c:v>
                </c:pt>
                <c:pt idx="21">
                  <c:v>463.6</c:v>
                </c:pt>
                <c:pt idx="22">
                  <c:v>463.6</c:v>
                </c:pt>
                <c:pt idx="23">
                  <c:v>463.6</c:v>
                </c:pt>
                <c:pt idx="24">
                  <c:v>463.6</c:v>
                </c:pt>
                <c:pt idx="25">
                  <c:v>463.6</c:v>
                </c:pt>
                <c:pt idx="26">
                  <c:v>463.6</c:v>
                </c:pt>
                <c:pt idx="27">
                  <c:v>463.6</c:v>
                </c:pt>
                <c:pt idx="28">
                  <c:v>463.6</c:v>
                </c:pt>
                <c:pt idx="29">
                  <c:v>463.6</c:v>
                </c:pt>
                <c:pt idx="30">
                  <c:v>463.6</c:v>
                </c:pt>
                <c:pt idx="31">
                  <c:v>463.6</c:v>
                </c:pt>
                <c:pt idx="32">
                  <c:v>463.6</c:v>
                </c:pt>
                <c:pt idx="33">
                  <c:v>463.6</c:v>
                </c:pt>
                <c:pt idx="34">
                  <c:v>463.6</c:v>
                </c:pt>
                <c:pt idx="35">
                  <c:v>463.6</c:v>
                </c:pt>
                <c:pt idx="36">
                  <c:v>463.6</c:v>
                </c:pt>
                <c:pt idx="37">
                  <c:v>463.6</c:v>
                </c:pt>
                <c:pt idx="38">
                  <c:v>463.6</c:v>
                </c:pt>
                <c:pt idx="39">
                  <c:v>463.6</c:v>
                </c:pt>
                <c:pt idx="40">
                  <c:v>463.6</c:v>
                </c:pt>
                <c:pt idx="41">
                  <c:v>463.6</c:v>
                </c:pt>
                <c:pt idx="42">
                  <c:v>463.6</c:v>
                </c:pt>
                <c:pt idx="43">
                  <c:v>463.6</c:v>
                </c:pt>
                <c:pt idx="44">
                  <c:v>463.6</c:v>
                </c:pt>
                <c:pt idx="45">
                  <c:v>463.6</c:v>
                </c:pt>
                <c:pt idx="46">
                  <c:v>463.6</c:v>
                </c:pt>
                <c:pt idx="47">
                  <c:v>463.6</c:v>
                </c:pt>
                <c:pt idx="48">
                  <c:v>463.6</c:v>
                </c:pt>
                <c:pt idx="49">
                  <c:v>463.6</c:v>
                </c:pt>
                <c:pt idx="50">
                  <c:v>463.6</c:v>
                </c:pt>
                <c:pt idx="51">
                  <c:v>463.6</c:v>
                </c:pt>
                <c:pt idx="52">
                  <c:v>463.6</c:v>
                </c:pt>
                <c:pt idx="53">
                  <c:v>463.6</c:v>
                </c:pt>
                <c:pt idx="54">
                  <c:v>463.6</c:v>
                </c:pt>
                <c:pt idx="55">
                  <c:v>463.6</c:v>
                </c:pt>
                <c:pt idx="56">
                  <c:v>463.6</c:v>
                </c:pt>
                <c:pt idx="57">
                  <c:v>463.6</c:v>
                </c:pt>
                <c:pt idx="58">
                  <c:v>463.6</c:v>
                </c:pt>
                <c:pt idx="59">
                  <c:v>463.6</c:v>
                </c:pt>
                <c:pt idx="60">
                  <c:v>463.6</c:v>
                </c:pt>
                <c:pt idx="61">
                  <c:v>463.6</c:v>
                </c:pt>
              </c:numCache>
            </c:numRef>
          </c:val>
          <c:smooth val="0"/>
        </c:ser>
        <c:ser>
          <c:idx val="3"/>
          <c:order val="3"/>
          <c:tx>
            <c:v>data</c:v>
          </c:tx>
          <c:spPr>
            <a:ln>
              <a:solidFill>
                <a:schemeClr val="accent1"/>
              </a:solidFill>
            </a:ln>
          </c:spPr>
          <c:marker>
            <c:symbol val="circle"/>
            <c:size val="4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cat>
            <c:multiLvlStrRef>
              <c:f>[0]!G15_XValues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[0]!G15_Data</c:f>
              <c:numCache>
                <c:formatCode>General</c:formatCode>
                <c:ptCount val="62"/>
                <c:pt idx="0">
                  <c:v>460.13</c:v>
                </c:pt>
                <c:pt idx="1">
                  <c:v>459.11</c:v>
                </c:pt>
                <c:pt idx="2">
                  <c:v>460.06</c:v>
                </c:pt>
                <c:pt idx="3">
                  <c:v>459.5</c:v>
                </c:pt>
                <c:pt idx="4">
                  <c:v>459.9</c:v>
                </c:pt>
                <c:pt idx="5">
                  <c:v>459.3</c:v>
                </c:pt>
                <c:pt idx="6">
                  <c:v>459.8</c:v>
                </c:pt>
                <c:pt idx="7">
                  <c:v>459.4</c:v>
                </c:pt>
                <c:pt idx="8">
                  <c:v>460.1</c:v>
                </c:pt>
                <c:pt idx="9">
                  <c:v>460.57</c:v>
                </c:pt>
                <c:pt idx="10">
                  <c:v>459.02</c:v>
                </c:pt>
                <c:pt idx="11">
                  <c:v>458.89</c:v>
                </c:pt>
                <c:pt idx="12">
                  <c:v>459.69</c:v>
                </c:pt>
                <c:pt idx="13">
                  <c:v>460.23</c:v>
                </c:pt>
                <c:pt idx="14">
                  <c:v>459.21</c:v>
                </c:pt>
                <c:pt idx="15">
                  <c:v>459.48</c:v>
                </c:pt>
                <c:pt idx="16">
                  <c:v>458.83</c:v>
                </c:pt>
                <c:pt idx="17">
                  <c:v>459.36</c:v>
                </c:pt>
                <c:pt idx="18">
                  <c:v>459.6</c:v>
                </c:pt>
                <c:pt idx="19">
                  <c:v>459</c:v>
                </c:pt>
                <c:pt idx="20">
                  <c:v>459.1</c:v>
                </c:pt>
                <c:pt idx="21">
                  <c:v>459.55</c:v>
                </c:pt>
                <c:pt idx="22">
                  <c:v>459.6</c:v>
                </c:pt>
                <c:pt idx="23">
                  <c:v>459.5</c:v>
                </c:pt>
                <c:pt idx="24">
                  <c:v>459.7</c:v>
                </c:pt>
                <c:pt idx="25">
                  <c:v>459.08</c:v>
                </c:pt>
                <c:pt idx="26">
                  <c:v>459.75</c:v>
                </c:pt>
                <c:pt idx="27">
                  <c:v>459.87</c:v>
                </c:pt>
                <c:pt idx="28">
                  <c:v>459.59</c:v>
                </c:pt>
                <c:pt idx="29">
                  <c:v>459.76</c:v>
                </c:pt>
                <c:pt idx="30">
                  <c:v>459.45</c:v>
                </c:pt>
                <c:pt idx="31">
                  <c:v>459.52</c:v>
                </c:pt>
                <c:pt idx="32">
                  <c:v>459.69</c:v>
                </c:pt>
                <c:pt idx="33">
                  <c:v>459.9</c:v>
                </c:pt>
                <c:pt idx="34">
                  <c:v>459.7</c:v>
                </c:pt>
                <c:pt idx="35">
                  <c:v>459.73</c:v>
                </c:pt>
                <c:pt idx="36">
                  <c:v>460.2</c:v>
                </c:pt>
                <c:pt idx="37">
                  <c:v>459.71</c:v>
                </c:pt>
                <c:pt idx="38">
                  <c:v>460.12</c:v>
                </c:pt>
                <c:pt idx="39">
                  <c:v>460.1</c:v>
                </c:pt>
                <c:pt idx="40">
                  <c:v>460.14</c:v>
                </c:pt>
                <c:pt idx="41">
                  <c:v>461.17</c:v>
                </c:pt>
                <c:pt idx="42">
                  <c:v>460.51</c:v>
                </c:pt>
                <c:pt idx="43">
                  <c:v>460.47</c:v>
                </c:pt>
                <c:pt idx="44">
                  <c:v>459.74</c:v>
                </c:pt>
                <c:pt idx="45">
                  <c:v>459.81</c:v>
                </c:pt>
                <c:pt idx="46">
                  <c:v>460.17</c:v>
                </c:pt>
                <c:pt idx="47">
                  <c:v>459.78</c:v>
                </c:pt>
                <c:pt idx="48">
                  <c:v>459.62</c:v>
                </c:pt>
                <c:pt idx="49">
                  <c:v>460.16</c:v>
                </c:pt>
                <c:pt idx="50">
                  <c:v>460.53</c:v>
                </c:pt>
                <c:pt idx="51">
                  <c:v>460.49</c:v>
                </c:pt>
                <c:pt idx="52">
                  <c:v>460.02</c:v>
                </c:pt>
                <c:pt idx="53">
                  <c:v>459.47</c:v>
                </c:pt>
                <c:pt idx="54">
                  <c:v>459.7</c:v>
                </c:pt>
                <c:pt idx="55">
                  <c:v>459.74</c:v>
                </c:pt>
                <c:pt idx="56">
                  <c:v>459.25</c:v>
                </c:pt>
                <c:pt idx="57">
                  <c:v>459.88</c:v>
                </c:pt>
                <c:pt idx="58">
                  <c:v>460.03</c:v>
                </c:pt>
                <c:pt idx="59">
                  <c:v>460.53</c:v>
                </c:pt>
                <c:pt idx="60">
                  <c:v>460.25</c:v>
                </c:pt>
                <c:pt idx="61">
                  <c:v>459.19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205120"/>
        <c:axId val="81227776"/>
      </c:lineChart>
      <c:catAx>
        <c:axId val="81205120"/>
        <c:scaling>
          <c:orientation val="minMax"/>
        </c:scaling>
        <c:delete val="1"/>
        <c:axPos val="b"/>
        <c:majorTickMark val="out"/>
        <c:minorTickMark val="none"/>
        <c:tickLblPos val="nextTo"/>
        <c:crossAx val="81227776"/>
        <c:crosses val="autoZero"/>
        <c:auto val="0"/>
        <c:lblAlgn val="ctr"/>
        <c:lblOffset val="100"/>
        <c:noMultiLvlLbl val="1"/>
      </c:catAx>
      <c:valAx>
        <c:axId val="812277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1205120"/>
        <c:crosses val="autoZero"/>
        <c:crossBetween val="midCat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nominal</c:v>
          </c:tx>
          <c:spPr>
            <a:ln>
              <a:solidFill>
                <a:srgbClr val="92D050"/>
              </a:solidFill>
            </a:ln>
          </c:spPr>
          <c:marker>
            <c:symbol val="none"/>
          </c:marker>
          <c:cat>
            <c:multiLvlStrRef>
              <c:f>[0]!G16_XValues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[0]!G16_Nominal</c:f>
              <c:numCache>
                <c:formatCode>General</c:formatCode>
                <c:ptCount val="62"/>
                <c:pt idx="0">
                  <c:v>1071.4000000000001</c:v>
                </c:pt>
                <c:pt idx="1">
                  <c:v>1071.4000000000001</c:v>
                </c:pt>
                <c:pt idx="2">
                  <c:v>1071.4000000000001</c:v>
                </c:pt>
                <c:pt idx="3">
                  <c:v>1071.4000000000001</c:v>
                </c:pt>
                <c:pt idx="4">
                  <c:v>1071.4000000000001</c:v>
                </c:pt>
                <c:pt idx="5">
                  <c:v>1071.4000000000001</c:v>
                </c:pt>
                <c:pt idx="6">
                  <c:v>1071.4000000000001</c:v>
                </c:pt>
                <c:pt idx="7">
                  <c:v>1071.4000000000001</c:v>
                </c:pt>
                <c:pt idx="8">
                  <c:v>1071.4000000000001</c:v>
                </c:pt>
                <c:pt idx="9">
                  <c:v>1071.4000000000001</c:v>
                </c:pt>
                <c:pt idx="10">
                  <c:v>1071.4000000000001</c:v>
                </c:pt>
                <c:pt idx="11">
                  <c:v>1071.4000000000001</c:v>
                </c:pt>
                <c:pt idx="12">
                  <c:v>1071.4000000000001</c:v>
                </c:pt>
                <c:pt idx="13">
                  <c:v>1071.4000000000001</c:v>
                </c:pt>
                <c:pt idx="14">
                  <c:v>1071.4000000000001</c:v>
                </c:pt>
                <c:pt idx="15">
                  <c:v>1071.4000000000001</c:v>
                </c:pt>
                <c:pt idx="16">
                  <c:v>1071.4000000000001</c:v>
                </c:pt>
                <c:pt idx="17">
                  <c:v>1071.4000000000001</c:v>
                </c:pt>
                <c:pt idx="18">
                  <c:v>1071.4000000000001</c:v>
                </c:pt>
                <c:pt idx="19">
                  <c:v>1071.4000000000001</c:v>
                </c:pt>
                <c:pt idx="20">
                  <c:v>1071.4000000000001</c:v>
                </c:pt>
                <c:pt idx="21">
                  <c:v>1071.4000000000001</c:v>
                </c:pt>
                <c:pt idx="22">
                  <c:v>1071.4000000000001</c:v>
                </c:pt>
                <c:pt idx="23">
                  <c:v>1071.4000000000001</c:v>
                </c:pt>
                <c:pt idx="24">
                  <c:v>1071.4000000000001</c:v>
                </c:pt>
                <c:pt idx="25">
                  <c:v>1071.4000000000001</c:v>
                </c:pt>
                <c:pt idx="26">
                  <c:v>1071.4000000000001</c:v>
                </c:pt>
                <c:pt idx="27">
                  <c:v>1071.4000000000001</c:v>
                </c:pt>
                <c:pt idx="28">
                  <c:v>1071.4000000000001</c:v>
                </c:pt>
                <c:pt idx="29">
                  <c:v>1071.4000000000001</c:v>
                </c:pt>
                <c:pt idx="30">
                  <c:v>1071.4000000000001</c:v>
                </c:pt>
                <c:pt idx="31">
                  <c:v>1071.4000000000001</c:v>
                </c:pt>
                <c:pt idx="32">
                  <c:v>1071.4000000000001</c:v>
                </c:pt>
                <c:pt idx="33">
                  <c:v>1071.4000000000001</c:v>
                </c:pt>
                <c:pt idx="34">
                  <c:v>1071.4000000000001</c:v>
                </c:pt>
                <c:pt idx="35">
                  <c:v>1071.4000000000001</c:v>
                </c:pt>
                <c:pt idx="36">
                  <c:v>1071.4000000000001</c:v>
                </c:pt>
                <c:pt idx="37">
                  <c:v>1071.4000000000001</c:v>
                </c:pt>
                <c:pt idx="38">
                  <c:v>1071.4000000000001</c:v>
                </c:pt>
                <c:pt idx="39">
                  <c:v>1071.4000000000001</c:v>
                </c:pt>
                <c:pt idx="40">
                  <c:v>1071.4000000000001</c:v>
                </c:pt>
                <c:pt idx="41">
                  <c:v>1071.4000000000001</c:v>
                </c:pt>
                <c:pt idx="42">
                  <c:v>1071.4000000000001</c:v>
                </c:pt>
                <c:pt idx="43">
                  <c:v>1071.4000000000001</c:v>
                </c:pt>
                <c:pt idx="44">
                  <c:v>1071.4000000000001</c:v>
                </c:pt>
                <c:pt idx="45">
                  <c:v>1071.4000000000001</c:v>
                </c:pt>
                <c:pt idx="46">
                  <c:v>1071.4000000000001</c:v>
                </c:pt>
                <c:pt idx="47">
                  <c:v>1071.4000000000001</c:v>
                </c:pt>
                <c:pt idx="48">
                  <c:v>1071.4000000000001</c:v>
                </c:pt>
                <c:pt idx="49">
                  <c:v>1071.4000000000001</c:v>
                </c:pt>
                <c:pt idx="50">
                  <c:v>1071.4000000000001</c:v>
                </c:pt>
                <c:pt idx="51">
                  <c:v>1071.4000000000001</c:v>
                </c:pt>
                <c:pt idx="52">
                  <c:v>1071.4000000000001</c:v>
                </c:pt>
                <c:pt idx="53">
                  <c:v>1071.4000000000001</c:v>
                </c:pt>
                <c:pt idx="54">
                  <c:v>1071.4000000000001</c:v>
                </c:pt>
                <c:pt idx="55">
                  <c:v>1071.4000000000001</c:v>
                </c:pt>
                <c:pt idx="56">
                  <c:v>1071.4000000000001</c:v>
                </c:pt>
                <c:pt idx="57">
                  <c:v>1071.4000000000001</c:v>
                </c:pt>
                <c:pt idx="58">
                  <c:v>1071.4000000000001</c:v>
                </c:pt>
                <c:pt idx="59">
                  <c:v>1071.4000000000001</c:v>
                </c:pt>
                <c:pt idx="60">
                  <c:v>1071.4000000000001</c:v>
                </c:pt>
                <c:pt idx="61">
                  <c:v>1071.4000000000001</c:v>
                </c:pt>
              </c:numCache>
            </c:numRef>
          </c:val>
          <c:smooth val="0"/>
        </c:ser>
        <c:ser>
          <c:idx val="1"/>
          <c:order val="1"/>
          <c:tx>
            <c:v>lie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[0]!G16_XValues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[0]!G16_Lie</c:f>
              <c:numCache>
                <c:formatCode>General</c:formatCode>
                <c:ptCount val="62"/>
                <c:pt idx="0">
                  <c:v>1067.4000000000001</c:v>
                </c:pt>
                <c:pt idx="1">
                  <c:v>1067.4000000000001</c:v>
                </c:pt>
                <c:pt idx="2">
                  <c:v>1067.4000000000001</c:v>
                </c:pt>
                <c:pt idx="3">
                  <c:v>1067.4000000000001</c:v>
                </c:pt>
                <c:pt idx="4">
                  <c:v>1067.4000000000001</c:v>
                </c:pt>
                <c:pt idx="5">
                  <c:v>1067.4000000000001</c:v>
                </c:pt>
                <c:pt idx="6">
                  <c:v>1067.4000000000001</c:v>
                </c:pt>
                <c:pt idx="7">
                  <c:v>1067.4000000000001</c:v>
                </c:pt>
                <c:pt idx="8">
                  <c:v>1067.4000000000001</c:v>
                </c:pt>
                <c:pt idx="9">
                  <c:v>1067.4000000000001</c:v>
                </c:pt>
                <c:pt idx="10">
                  <c:v>1067.4000000000001</c:v>
                </c:pt>
                <c:pt idx="11">
                  <c:v>1067.4000000000001</c:v>
                </c:pt>
                <c:pt idx="12">
                  <c:v>1067.4000000000001</c:v>
                </c:pt>
                <c:pt idx="13">
                  <c:v>1067.4000000000001</c:v>
                </c:pt>
                <c:pt idx="14">
                  <c:v>1067.4000000000001</c:v>
                </c:pt>
                <c:pt idx="15">
                  <c:v>1067.4000000000001</c:v>
                </c:pt>
                <c:pt idx="16">
                  <c:v>1067.4000000000001</c:v>
                </c:pt>
                <c:pt idx="17">
                  <c:v>1067.4000000000001</c:v>
                </c:pt>
                <c:pt idx="18">
                  <c:v>1067.4000000000001</c:v>
                </c:pt>
                <c:pt idx="19">
                  <c:v>1067.4000000000001</c:v>
                </c:pt>
                <c:pt idx="20">
                  <c:v>1067.4000000000001</c:v>
                </c:pt>
                <c:pt idx="21">
                  <c:v>1067.4000000000001</c:v>
                </c:pt>
                <c:pt idx="22">
                  <c:v>1067.4000000000001</c:v>
                </c:pt>
                <c:pt idx="23">
                  <c:v>1067.4000000000001</c:v>
                </c:pt>
                <c:pt idx="24">
                  <c:v>1067.4000000000001</c:v>
                </c:pt>
                <c:pt idx="25">
                  <c:v>1067.4000000000001</c:v>
                </c:pt>
                <c:pt idx="26">
                  <c:v>1067.4000000000001</c:v>
                </c:pt>
                <c:pt idx="27">
                  <c:v>1067.4000000000001</c:v>
                </c:pt>
                <c:pt idx="28">
                  <c:v>1067.4000000000001</c:v>
                </c:pt>
                <c:pt idx="29">
                  <c:v>1067.4000000000001</c:v>
                </c:pt>
                <c:pt idx="30">
                  <c:v>1067.4000000000001</c:v>
                </c:pt>
                <c:pt idx="31">
                  <c:v>1067.4000000000001</c:v>
                </c:pt>
                <c:pt idx="32">
                  <c:v>1067.4000000000001</c:v>
                </c:pt>
                <c:pt idx="33">
                  <c:v>1067.4000000000001</c:v>
                </c:pt>
                <c:pt idx="34">
                  <c:v>1067.4000000000001</c:v>
                </c:pt>
                <c:pt idx="35">
                  <c:v>1067.4000000000001</c:v>
                </c:pt>
                <c:pt idx="36">
                  <c:v>1067.4000000000001</c:v>
                </c:pt>
                <c:pt idx="37">
                  <c:v>1067.4000000000001</c:v>
                </c:pt>
                <c:pt idx="38">
                  <c:v>1067.4000000000001</c:v>
                </c:pt>
                <c:pt idx="39">
                  <c:v>1067.4000000000001</c:v>
                </c:pt>
                <c:pt idx="40">
                  <c:v>1067.4000000000001</c:v>
                </c:pt>
                <c:pt idx="41">
                  <c:v>1067.4000000000001</c:v>
                </c:pt>
                <c:pt idx="42">
                  <c:v>1067.4000000000001</c:v>
                </c:pt>
                <c:pt idx="43">
                  <c:v>1067.4000000000001</c:v>
                </c:pt>
                <c:pt idx="44">
                  <c:v>1067.4000000000001</c:v>
                </c:pt>
                <c:pt idx="45">
                  <c:v>1067.4000000000001</c:v>
                </c:pt>
                <c:pt idx="46">
                  <c:v>1067.4000000000001</c:v>
                </c:pt>
                <c:pt idx="47">
                  <c:v>1067.4000000000001</c:v>
                </c:pt>
                <c:pt idx="48">
                  <c:v>1067.4000000000001</c:v>
                </c:pt>
                <c:pt idx="49">
                  <c:v>1067.4000000000001</c:v>
                </c:pt>
                <c:pt idx="50">
                  <c:v>1067.4000000000001</c:v>
                </c:pt>
                <c:pt idx="51">
                  <c:v>1067.4000000000001</c:v>
                </c:pt>
                <c:pt idx="52">
                  <c:v>1067.4000000000001</c:v>
                </c:pt>
                <c:pt idx="53">
                  <c:v>1067.4000000000001</c:v>
                </c:pt>
                <c:pt idx="54">
                  <c:v>1067.4000000000001</c:v>
                </c:pt>
                <c:pt idx="55">
                  <c:v>1067.4000000000001</c:v>
                </c:pt>
                <c:pt idx="56">
                  <c:v>1067.4000000000001</c:v>
                </c:pt>
                <c:pt idx="57">
                  <c:v>1067.4000000000001</c:v>
                </c:pt>
                <c:pt idx="58">
                  <c:v>1067.4000000000001</c:v>
                </c:pt>
                <c:pt idx="59">
                  <c:v>1067.4000000000001</c:v>
                </c:pt>
                <c:pt idx="60">
                  <c:v>1067.4000000000001</c:v>
                </c:pt>
                <c:pt idx="61">
                  <c:v>1067.4000000000001</c:v>
                </c:pt>
              </c:numCache>
            </c:numRef>
          </c:val>
          <c:smooth val="0"/>
        </c:ser>
        <c:ser>
          <c:idx val="2"/>
          <c:order val="2"/>
          <c:tx>
            <c:v>lse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[0]!G16_XValues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[0]!G16_Lse</c:f>
              <c:numCache>
                <c:formatCode>General</c:formatCode>
                <c:ptCount val="62"/>
                <c:pt idx="0">
                  <c:v>1075.4000000000001</c:v>
                </c:pt>
                <c:pt idx="1">
                  <c:v>1075.4000000000001</c:v>
                </c:pt>
                <c:pt idx="2">
                  <c:v>1075.4000000000001</c:v>
                </c:pt>
                <c:pt idx="3">
                  <c:v>1075.4000000000001</c:v>
                </c:pt>
                <c:pt idx="4">
                  <c:v>1075.4000000000001</c:v>
                </c:pt>
                <c:pt idx="5">
                  <c:v>1075.4000000000001</c:v>
                </c:pt>
                <c:pt idx="6">
                  <c:v>1075.4000000000001</c:v>
                </c:pt>
                <c:pt idx="7">
                  <c:v>1075.4000000000001</c:v>
                </c:pt>
                <c:pt idx="8">
                  <c:v>1075.4000000000001</c:v>
                </c:pt>
                <c:pt idx="9">
                  <c:v>1075.4000000000001</c:v>
                </c:pt>
                <c:pt idx="10">
                  <c:v>1075.4000000000001</c:v>
                </c:pt>
                <c:pt idx="11">
                  <c:v>1075.4000000000001</c:v>
                </c:pt>
                <c:pt idx="12">
                  <c:v>1075.4000000000001</c:v>
                </c:pt>
                <c:pt idx="13">
                  <c:v>1075.4000000000001</c:v>
                </c:pt>
                <c:pt idx="14">
                  <c:v>1075.4000000000001</c:v>
                </c:pt>
                <c:pt idx="15">
                  <c:v>1075.4000000000001</c:v>
                </c:pt>
                <c:pt idx="16">
                  <c:v>1075.4000000000001</c:v>
                </c:pt>
                <c:pt idx="17">
                  <c:v>1075.4000000000001</c:v>
                </c:pt>
                <c:pt idx="18">
                  <c:v>1075.4000000000001</c:v>
                </c:pt>
                <c:pt idx="19">
                  <c:v>1075.4000000000001</c:v>
                </c:pt>
                <c:pt idx="20">
                  <c:v>1075.4000000000001</c:v>
                </c:pt>
                <c:pt idx="21">
                  <c:v>1075.4000000000001</c:v>
                </c:pt>
                <c:pt idx="22">
                  <c:v>1075.4000000000001</c:v>
                </c:pt>
                <c:pt idx="23">
                  <c:v>1075.4000000000001</c:v>
                </c:pt>
                <c:pt idx="24">
                  <c:v>1075.4000000000001</c:v>
                </c:pt>
                <c:pt idx="25">
                  <c:v>1075.4000000000001</c:v>
                </c:pt>
                <c:pt idx="26">
                  <c:v>1075.4000000000001</c:v>
                </c:pt>
                <c:pt idx="27">
                  <c:v>1075.4000000000001</c:v>
                </c:pt>
                <c:pt idx="28">
                  <c:v>1075.4000000000001</c:v>
                </c:pt>
                <c:pt idx="29">
                  <c:v>1075.4000000000001</c:v>
                </c:pt>
                <c:pt idx="30">
                  <c:v>1075.4000000000001</c:v>
                </c:pt>
                <c:pt idx="31">
                  <c:v>1075.4000000000001</c:v>
                </c:pt>
                <c:pt idx="32">
                  <c:v>1075.4000000000001</c:v>
                </c:pt>
                <c:pt idx="33">
                  <c:v>1075.4000000000001</c:v>
                </c:pt>
                <c:pt idx="34">
                  <c:v>1075.4000000000001</c:v>
                </c:pt>
                <c:pt idx="35">
                  <c:v>1075.4000000000001</c:v>
                </c:pt>
                <c:pt idx="36">
                  <c:v>1075.4000000000001</c:v>
                </c:pt>
                <c:pt idx="37">
                  <c:v>1075.4000000000001</c:v>
                </c:pt>
                <c:pt idx="38">
                  <c:v>1075.4000000000001</c:v>
                </c:pt>
                <c:pt idx="39">
                  <c:v>1075.4000000000001</c:v>
                </c:pt>
                <c:pt idx="40">
                  <c:v>1075.4000000000001</c:v>
                </c:pt>
                <c:pt idx="41">
                  <c:v>1075.4000000000001</c:v>
                </c:pt>
                <c:pt idx="42">
                  <c:v>1075.4000000000001</c:v>
                </c:pt>
                <c:pt idx="43">
                  <c:v>1075.4000000000001</c:v>
                </c:pt>
                <c:pt idx="44">
                  <c:v>1075.4000000000001</c:v>
                </c:pt>
                <c:pt idx="45">
                  <c:v>1075.4000000000001</c:v>
                </c:pt>
                <c:pt idx="46">
                  <c:v>1075.4000000000001</c:v>
                </c:pt>
                <c:pt idx="47">
                  <c:v>1075.4000000000001</c:v>
                </c:pt>
                <c:pt idx="48">
                  <c:v>1075.4000000000001</c:v>
                </c:pt>
                <c:pt idx="49">
                  <c:v>1075.4000000000001</c:v>
                </c:pt>
                <c:pt idx="50">
                  <c:v>1075.4000000000001</c:v>
                </c:pt>
                <c:pt idx="51">
                  <c:v>1075.4000000000001</c:v>
                </c:pt>
                <c:pt idx="52">
                  <c:v>1075.4000000000001</c:v>
                </c:pt>
                <c:pt idx="53">
                  <c:v>1075.4000000000001</c:v>
                </c:pt>
                <c:pt idx="54">
                  <c:v>1075.4000000000001</c:v>
                </c:pt>
                <c:pt idx="55">
                  <c:v>1075.4000000000001</c:v>
                </c:pt>
                <c:pt idx="56">
                  <c:v>1075.4000000000001</c:v>
                </c:pt>
                <c:pt idx="57">
                  <c:v>1075.4000000000001</c:v>
                </c:pt>
                <c:pt idx="58">
                  <c:v>1075.4000000000001</c:v>
                </c:pt>
                <c:pt idx="59">
                  <c:v>1075.4000000000001</c:v>
                </c:pt>
                <c:pt idx="60">
                  <c:v>1075.4000000000001</c:v>
                </c:pt>
                <c:pt idx="61">
                  <c:v>1075.4000000000001</c:v>
                </c:pt>
              </c:numCache>
            </c:numRef>
          </c:val>
          <c:smooth val="0"/>
        </c:ser>
        <c:ser>
          <c:idx val="3"/>
          <c:order val="3"/>
          <c:tx>
            <c:v>data</c:v>
          </c:tx>
          <c:spPr>
            <a:ln>
              <a:solidFill>
                <a:schemeClr val="accent1"/>
              </a:solidFill>
            </a:ln>
          </c:spPr>
          <c:marker>
            <c:symbol val="circle"/>
            <c:size val="4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cat>
            <c:multiLvlStrRef>
              <c:f>[0]!G16_XValues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[0]!G16_Data</c:f>
              <c:numCache>
                <c:formatCode>General</c:formatCode>
                <c:ptCount val="62"/>
                <c:pt idx="0">
                  <c:v>1069.8599999999999</c:v>
                </c:pt>
                <c:pt idx="1">
                  <c:v>1070.52</c:v>
                </c:pt>
                <c:pt idx="2">
                  <c:v>1070.2</c:v>
                </c:pt>
                <c:pt idx="3">
                  <c:v>1071</c:v>
                </c:pt>
                <c:pt idx="4">
                  <c:v>1069.9000000000001</c:v>
                </c:pt>
                <c:pt idx="5">
                  <c:v>1070.5999999999999</c:v>
                </c:pt>
                <c:pt idx="6">
                  <c:v>1069.0999999999999</c:v>
                </c:pt>
                <c:pt idx="7">
                  <c:v>1070.7</c:v>
                </c:pt>
                <c:pt idx="8">
                  <c:v>1070.5999999999999</c:v>
                </c:pt>
                <c:pt idx="9">
                  <c:v>1070.69</c:v>
                </c:pt>
                <c:pt idx="10">
                  <c:v>1070.25</c:v>
                </c:pt>
                <c:pt idx="11">
                  <c:v>1070.74</c:v>
                </c:pt>
                <c:pt idx="12">
                  <c:v>1070.43</c:v>
                </c:pt>
                <c:pt idx="13">
                  <c:v>1070.06</c:v>
                </c:pt>
                <c:pt idx="14">
                  <c:v>1070.1199999999999</c:v>
                </c:pt>
                <c:pt idx="15">
                  <c:v>1070.31</c:v>
                </c:pt>
                <c:pt idx="16">
                  <c:v>1070.3</c:v>
                </c:pt>
                <c:pt idx="17">
                  <c:v>1070.54</c:v>
                </c:pt>
                <c:pt idx="18">
                  <c:v>1070</c:v>
                </c:pt>
                <c:pt idx="19">
                  <c:v>1070.9000000000001</c:v>
                </c:pt>
                <c:pt idx="20">
                  <c:v>1071.0999999999999</c:v>
                </c:pt>
                <c:pt idx="21">
                  <c:v>1069.68</c:v>
                </c:pt>
                <c:pt idx="22">
                  <c:v>1070.4000000000001</c:v>
                </c:pt>
                <c:pt idx="23">
                  <c:v>1070.8</c:v>
                </c:pt>
                <c:pt idx="24">
                  <c:v>1070.7</c:v>
                </c:pt>
                <c:pt idx="25">
                  <c:v>1070.4000000000001</c:v>
                </c:pt>
                <c:pt idx="26">
                  <c:v>1070.53</c:v>
                </c:pt>
                <c:pt idx="27">
                  <c:v>1070.43</c:v>
                </c:pt>
                <c:pt idx="28">
                  <c:v>1070.5999999999999</c:v>
                </c:pt>
                <c:pt idx="29">
                  <c:v>1070.68</c:v>
                </c:pt>
                <c:pt idx="30">
                  <c:v>1070.55</c:v>
                </c:pt>
                <c:pt idx="31">
                  <c:v>1070.5</c:v>
                </c:pt>
                <c:pt idx="32">
                  <c:v>1069.98</c:v>
                </c:pt>
                <c:pt idx="33">
                  <c:v>1070.58</c:v>
                </c:pt>
                <c:pt idx="34">
                  <c:v>1070.5</c:v>
                </c:pt>
                <c:pt idx="35">
                  <c:v>1070.3800000000001</c:v>
                </c:pt>
                <c:pt idx="36">
                  <c:v>1069.96</c:v>
                </c:pt>
                <c:pt idx="37">
                  <c:v>1070.3599999999999</c:v>
                </c:pt>
                <c:pt idx="38">
                  <c:v>1069.98</c:v>
                </c:pt>
                <c:pt idx="39">
                  <c:v>1070.03</c:v>
                </c:pt>
                <c:pt idx="40">
                  <c:v>1070.43</c:v>
                </c:pt>
                <c:pt idx="41">
                  <c:v>1070.4100000000001</c:v>
                </c:pt>
                <c:pt idx="42">
                  <c:v>1070.6600000000001</c:v>
                </c:pt>
                <c:pt idx="43">
                  <c:v>1070.93</c:v>
                </c:pt>
                <c:pt idx="44">
                  <c:v>1070.72</c:v>
                </c:pt>
                <c:pt idx="45">
                  <c:v>1071</c:v>
                </c:pt>
                <c:pt idx="46">
                  <c:v>1069.8800000000001</c:v>
                </c:pt>
                <c:pt idx="47">
                  <c:v>1070.5999999999999</c:v>
                </c:pt>
                <c:pt idx="48">
                  <c:v>1070.5</c:v>
                </c:pt>
                <c:pt idx="49">
                  <c:v>1070.43</c:v>
                </c:pt>
                <c:pt idx="50">
                  <c:v>1070.67</c:v>
                </c:pt>
                <c:pt idx="51">
                  <c:v>1070.04</c:v>
                </c:pt>
                <c:pt idx="52">
                  <c:v>1070.47</c:v>
                </c:pt>
                <c:pt idx="53">
                  <c:v>1070.78</c:v>
                </c:pt>
                <c:pt idx="54">
                  <c:v>1070.73</c:v>
                </c:pt>
                <c:pt idx="55">
                  <c:v>1070.8499999999999</c:v>
                </c:pt>
                <c:pt idx="56">
                  <c:v>1071.31</c:v>
                </c:pt>
                <c:pt idx="57">
                  <c:v>1070.8</c:v>
                </c:pt>
                <c:pt idx="58">
                  <c:v>1070.05</c:v>
                </c:pt>
                <c:pt idx="59">
                  <c:v>1070.23</c:v>
                </c:pt>
                <c:pt idx="60">
                  <c:v>1070.1199999999999</c:v>
                </c:pt>
                <c:pt idx="61">
                  <c:v>1070.49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265792"/>
        <c:axId val="81267712"/>
      </c:lineChart>
      <c:catAx>
        <c:axId val="81265792"/>
        <c:scaling>
          <c:orientation val="minMax"/>
        </c:scaling>
        <c:delete val="1"/>
        <c:axPos val="b"/>
        <c:majorTickMark val="out"/>
        <c:minorTickMark val="none"/>
        <c:tickLblPos val="nextTo"/>
        <c:crossAx val="81267712"/>
        <c:crosses val="autoZero"/>
        <c:auto val="0"/>
        <c:lblAlgn val="ctr"/>
        <c:lblOffset val="100"/>
        <c:noMultiLvlLbl val="1"/>
      </c:catAx>
      <c:valAx>
        <c:axId val="812677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1265792"/>
        <c:crosses val="autoZero"/>
        <c:crossBetween val="midCat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nominal</c:v>
          </c:tx>
          <c:spPr>
            <a:ln>
              <a:solidFill>
                <a:srgbClr val="92D050"/>
              </a:solidFill>
            </a:ln>
          </c:spPr>
          <c:marker>
            <c:symbol val="none"/>
          </c:marker>
          <c:cat>
            <c:multiLvlStrRef>
              <c:f>[0]!G17_XValues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[0]!G17_Nominal</c:f>
              <c:numCache>
                <c:formatCode>General</c:formatCode>
                <c:ptCount val="62"/>
                <c:pt idx="0">
                  <c:v>1527.1</c:v>
                </c:pt>
                <c:pt idx="1">
                  <c:v>1527.1</c:v>
                </c:pt>
                <c:pt idx="2">
                  <c:v>1527.1</c:v>
                </c:pt>
                <c:pt idx="3">
                  <c:v>1527.1</c:v>
                </c:pt>
                <c:pt idx="4">
                  <c:v>1527.1</c:v>
                </c:pt>
                <c:pt idx="5">
                  <c:v>1527.1</c:v>
                </c:pt>
                <c:pt idx="6">
                  <c:v>1527.1</c:v>
                </c:pt>
                <c:pt idx="7">
                  <c:v>1527.1</c:v>
                </c:pt>
                <c:pt idx="8">
                  <c:v>1527.1</c:v>
                </c:pt>
                <c:pt idx="9">
                  <c:v>1527.1</c:v>
                </c:pt>
                <c:pt idx="10">
                  <c:v>1527.1</c:v>
                </c:pt>
                <c:pt idx="11">
                  <c:v>1527.1</c:v>
                </c:pt>
                <c:pt idx="12">
                  <c:v>1527.1</c:v>
                </c:pt>
                <c:pt idx="13">
                  <c:v>1527.1</c:v>
                </c:pt>
                <c:pt idx="14">
                  <c:v>1527.1</c:v>
                </c:pt>
                <c:pt idx="15">
                  <c:v>1527.1</c:v>
                </c:pt>
                <c:pt idx="16">
                  <c:v>1527.1</c:v>
                </c:pt>
                <c:pt idx="17">
                  <c:v>1527.1</c:v>
                </c:pt>
                <c:pt idx="18">
                  <c:v>1527.1</c:v>
                </c:pt>
                <c:pt idx="19">
                  <c:v>1527.1</c:v>
                </c:pt>
                <c:pt idx="20">
                  <c:v>1527.1</c:v>
                </c:pt>
                <c:pt idx="21">
                  <c:v>1527.1</c:v>
                </c:pt>
                <c:pt idx="22">
                  <c:v>1527.1</c:v>
                </c:pt>
                <c:pt idx="23">
                  <c:v>1527.1</c:v>
                </c:pt>
                <c:pt idx="24">
                  <c:v>1527.1</c:v>
                </c:pt>
                <c:pt idx="25">
                  <c:v>1527.1</c:v>
                </c:pt>
                <c:pt idx="26">
                  <c:v>1527.1</c:v>
                </c:pt>
                <c:pt idx="27">
                  <c:v>1527.1</c:v>
                </c:pt>
                <c:pt idx="28">
                  <c:v>1527.1</c:v>
                </c:pt>
                <c:pt idx="29">
                  <c:v>1527.1</c:v>
                </c:pt>
                <c:pt idx="30">
                  <c:v>1527.1</c:v>
                </c:pt>
                <c:pt idx="31">
                  <c:v>1527.1</c:v>
                </c:pt>
                <c:pt idx="32">
                  <c:v>1527.1</c:v>
                </c:pt>
                <c:pt idx="33">
                  <c:v>1527.1</c:v>
                </c:pt>
                <c:pt idx="34">
                  <c:v>1527.1</c:v>
                </c:pt>
                <c:pt idx="35">
                  <c:v>1527.1</c:v>
                </c:pt>
                <c:pt idx="36">
                  <c:v>1527.1</c:v>
                </c:pt>
                <c:pt idx="37">
                  <c:v>1527.1</c:v>
                </c:pt>
                <c:pt idx="38">
                  <c:v>1527.1</c:v>
                </c:pt>
                <c:pt idx="39">
                  <c:v>1527.1</c:v>
                </c:pt>
                <c:pt idx="40">
                  <c:v>1527.1</c:v>
                </c:pt>
                <c:pt idx="41">
                  <c:v>1527.1</c:v>
                </c:pt>
                <c:pt idx="42">
                  <c:v>1527.1</c:v>
                </c:pt>
                <c:pt idx="43">
                  <c:v>1527.1</c:v>
                </c:pt>
                <c:pt idx="44">
                  <c:v>1527.1</c:v>
                </c:pt>
                <c:pt idx="45">
                  <c:v>1527.1</c:v>
                </c:pt>
                <c:pt idx="46">
                  <c:v>1527.1</c:v>
                </c:pt>
                <c:pt idx="47">
                  <c:v>1527.1</c:v>
                </c:pt>
                <c:pt idx="48">
                  <c:v>1527.1</c:v>
                </c:pt>
                <c:pt idx="49">
                  <c:v>1527.1</c:v>
                </c:pt>
                <c:pt idx="50">
                  <c:v>1527.1</c:v>
                </c:pt>
                <c:pt idx="51">
                  <c:v>1527.1</c:v>
                </c:pt>
                <c:pt idx="52">
                  <c:v>1527.1</c:v>
                </c:pt>
                <c:pt idx="53">
                  <c:v>1527.1</c:v>
                </c:pt>
                <c:pt idx="54">
                  <c:v>1527.1</c:v>
                </c:pt>
                <c:pt idx="55">
                  <c:v>1527.1</c:v>
                </c:pt>
                <c:pt idx="56">
                  <c:v>1527.1</c:v>
                </c:pt>
                <c:pt idx="57">
                  <c:v>1527.1</c:v>
                </c:pt>
                <c:pt idx="58">
                  <c:v>1527.1</c:v>
                </c:pt>
                <c:pt idx="59">
                  <c:v>1527.1</c:v>
                </c:pt>
                <c:pt idx="60">
                  <c:v>1527.1</c:v>
                </c:pt>
                <c:pt idx="61">
                  <c:v>1527.1</c:v>
                </c:pt>
              </c:numCache>
            </c:numRef>
          </c:val>
          <c:smooth val="0"/>
        </c:ser>
        <c:ser>
          <c:idx val="1"/>
          <c:order val="1"/>
          <c:tx>
            <c:v>lie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[0]!G17_XValues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[0]!G17_Lie</c:f>
              <c:numCache>
                <c:formatCode>General</c:formatCode>
                <c:ptCount val="62"/>
                <c:pt idx="0">
                  <c:v>1523.1</c:v>
                </c:pt>
                <c:pt idx="1">
                  <c:v>1523.1</c:v>
                </c:pt>
                <c:pt idx="2">
                  <c:v>1523.1</c:v>
                </c:pt>
                <c:pt idx="3">
                  <c:v>1523.1</c:v>
                </c:pt>
                <c:pt idx="4">
                  <c:v>1523.1</c:v>
                </c:pt>
                <c:pt idx="5">
                  <c:v>1523.1</c:v>
                </c:pt>
                <c:pt idx="6">
                  <c:v>1523.1</c:v>
                </c:pt>
                <c:pt idx="7">
                  <c:v>1523.1</c:v>
                </c:pt>
                <c:pt idx="8">
                  <c:v>1523.1</c:v>
                </c:pt>
                <c:pt idx="9">
                  <c:v>1523.1</c:v>
                </c:pt>
                <c:pt idx="10">
                  <c:v>1523.1</c:v>
                </c:pt>
                <c:pt idx="11">
                  <c:v>1523.1</c:v>
                </c:pt>
                <c:pt idx="12">
                  <c:v>1523.1</c:v>
                </c:pt>
                <c:pt idx="13">
                  <c:v>1523.1</c:v>
                </c:pt>
                <c:pt idx="14">
                  <c:v>1523.1</c:v>
                </c:pt>
                <c:pt idx="15">
                  <c:v>1523.1</c:v>
                </c:pt>
                <c:pt idx="16">
                  <c:v>1523.1</c:v>
                </c:pt>
                <c:pt idx="17">
                  <c:v>1523.1</c:v>
                </c:pt>
                <c:pt idx="18">
                  <c:v>1523.1</c:v>
                </c:pt>
                <c:pt idx="19">
                  <c:v>1523.1</c:v>
                </c:pt>
                <c:pt idx="20">
                  <c:v>1523.1</c:v>
                </c:pt>
                <c:pt idx="21">
                  <c:v>1523.1</c:v>
                </c:pt>
                <c:pt idx="22">
                  <c:v>1523.1</c:v>
                </c:pt>
                <c:pt idx="23">
                  <c:v>1523.1</c:v>
                </c:pt>
                <c:pt idx="24">
                  <c:v>1523.1</c:v>
                </c:pt>
                <c:pt idx="25">
                  <c:v>1523.1</c:v>
                </c:pt>
                <c:pt idx="26">
                  <c:v>1523.1</c:v>
                </c:pt>
                <c:pt idx="27">
                  <c:v>1523.1</c:v>
                </c:pt>
                <c:pt idx="28">
                  <c:v>1523.1</c:v>
                </c:pt>
                <c:pt idx="29">
                  <c:v>1523.1</c:v>
                </c:pt>
                <c:pt idx="30">
                  <c:v>1523.1</c:v>
                </c:pt>
                <c:pt idx="31">
                  <c:v>1523.1</c:v>
                </c:pt>
                <c:pt idx="32">
                  <c:v>1523.1</c:v>
                </c:pt>
                <c:pt idx="33">
                  <c:v>1523.1</c:v>
                </c:pt>
                <c:pt idx="34">
                  <c:v>1523.1</c:v>
                </c:pt>
                <c:pt idx="35">
                  <c:v>1523.1</c:v>
                </c:pt>
                <c:pt idx="36">
                  <c:v>1523.1</c:v>
                </c:pt>
                <c:pt idx="37">
                  <c:v>1523.1</c:v>
                </c:pt>
                <c:pt idx="38">
                  <c:v>1523.1</c:v>
                </c:pt>
                <c:pt idx="39">
                  <c:v>1523.1</c:v>
                </c:pt>
                <c:pt idx="40">
                  <c:v>1523.1</c:v>
                </c:pt>
                <c:pt idx="41">
                  <c:v>1523.1</c:v>
                </c:pt>
                <c:pt idx="42">
                  <c:v>1523.1</c:v>
                </c:pt>
                <c:pt idx="43">
                  <c:v>1523.1</c:v>
                </c:pt>
                <c:pt idx="44">
                  <c:v>1523.1</c:v>
                </c:pt>
                <c:pt idx="45">
                  <c:v>1523.1</c:v>
                </c:pt>
                <c:pt idx="46">
                  <c:v>1523.1</c:v>
                </c:pt>
                <c:pt idx="47">
                  <c:v>1523.1</c:v>
                </c:pt>
                <c:pt idx="48">
                  <c:v>1523.1</c:v>
                </c:pt>
                <c:pt idx="49">
                  <c:v>1523.1</c:v>
                </c:pt>
                <c:pt idx="50">
                  <c:v>1523.1</c:v>
                </c:pt>
                <c:pt idx="51">
                  <c:v>1523.1</c:v>
                </c:pt>
                <c:pt idx="52">
                  <c:v>1523.1</c:v>
                </c:pt>
                <c:pt idx="53">
                  <c:v>1523.1</c:v>
                </c:pt>
                <c:pt idx="54">
                  <c:v>1523.1</c:v>
                </c:pt>
                <c:pt idx="55">
                  <c:v>1523.1</c:v>
                </c:pt>
                <c:pt idx="56">
                  <c:v>1523.1</c:v>
                </c:pt>
                <c:pt idx="57">
                  <c:v>1523.1</c:v>
                </c:pt>
                <c:pt idx="58">
                  <c:v>1523.1</c:v>
                </c:pt>
                <c:pt idx="59">
                  <c:v>1523.1</c:v>
                </c:pt>
                <c:pt idx="60">
                  <c:v>1523.1</c:v>
                </c:pt>
                <c:pt idx="61">
                  <c:v>1523.1</c:v>
                </c:pt>
              </c:numCache>
            </c:numRef>
          </c:val>
          <c:smooth val="0"/>
        </c:ser>
        <c:ser>
          <c:idx val="2"/>
          <c:order val="2"/>
          <c:tx>
            <c:v>lse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[0]!G17_XValues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[0]!G17_Lse</c:f>
              <c:numCache>
                <c:formatCode>General</c:formatCode>
                <c:ptCount val="62"/>
                <c:pt idx="0">
                  <c:v>1531.1</c:v>
                </c:pt>
                <c:pt idx="1">
                  <c:v>1531.1</c:v>
                </c:pt>
                <c:pt idx="2">
                  <c:v>1531.1</c:v>
                </c:pt>
                <c:pt idx="3">
                  <c:v>1531.1</c:v>
                </c:pt>
                <c:pt idx="4">
                  <c:v>1531.1</c:v>
                </c:pt>
                <c:pt idx="5">
                  <c:v>1531.1</c:v>
                </c:pt>
                <c:pt idx="6">
                  <c:v>1531.1</c:v>
                </c:pt>
                <c:pt idx="7">
                  <c:v>1531.1</c:v>
                </c:pt>
                <c:pt idx="8">
                  <c:v>1531.1</c:v>
                </c:pt>
                <c:pt idx="9">
                  <c:v>1531.1</c:v>
                </c:pt>
                <c:pt idx="10">
                  <c:v>1531.1</c:v>
                </c:pt>
                <c:pt idx="11">
                  <c:v>1531.1</c:v>
                </c:pt>
                <c:pt idx="12">
                  <c:v>1531.1</c:v>
                </c:pt>
                <c:pt idx="13">
                  <c:v>1531.1</c:v>
                </c:pt>
                <c:pt idx="14">
                  <c:v>1531.1</c:v>
                </c:pt>
                <c:pt idx="15">
                  <c:v>1531.1</c:v>
                </c:pt>
                <c:pt idx="16">
                  <c:v>1531.1</c:v>
                </c:pt>
                <c:pt idx="17">
                  <c:v>1531.1</c:v>
                </c:pt>
                <c:pt idx="18">
                  <c:v>1531.1</c:v>
                </c:pt>
                <c:pt idx="19">
                  <c:v>1531.1</c:v>
                </c:pt>
                <c:pt idx="20">
                  <c:v>1531.1</c:v>
                </c:pt>
                <c:pt idx="21">
                  <c:v>1531.1</c:v>
                </c:pt>
                <c:pt idx="22">
                  <c:v>1531.1</c:v>
                </c:pt>
                <c:pt idx="23">
                  <c:v>1531.1</c:v>
                </c:pt>
                <c:pt idx="24">
                  <c:v>1531.1</c:v>
                </c:pt>
                <c:pt idx="25">
                  <c:v>1531.1</c:v>
                </c:pt>
                <c:pt idx="26">
                  <c:v>1531.1</c:v>
                </c:pt>
                <c:pt idx="27">
                  <c:v>1531.1</c:v>
                </c:pt>
                <c:pt idx="28">
                  <c:v>1531.1</c:v>
                </c:pt>
                <c:pt idx="29">
                  <c:v>1531.1</c:v>
                </c:pt>
                <c:pt idx="30">
                  <c:v>1531.1</c:v>
                </c:pt>
                <c:pt idx="31">
                  <c:v>1531.1</c:v>
                </c:pt>
                <c:pt idx="32">
                  <c:v>1531.1</c:v>
                </c:pt>
                <c:pt idx="33">
                  <c:v>1531.1</c:v>
                </c:pt>
                <c:pt idx="34">
                  <c:v>1531.1</c:v>
                </c:pt>
                <c:pt idx="35">
                  <c:v>1531.1</c:v>
                </c:pt>
                <c:pt idx="36">
                  <c:v>1531.1</c:v>
                </c:pt>
                <c:pt idx="37">
                  <c:v>1531.1</c:v>
                </c:pt>
                <c:pt idx="38">
                  <c:v>1531.1</c:v>
                </c:pt>
                <c:pt idx="39">
                  <c:v>1531.1</c:v>
                </c:pt>
                <c:pt idx="40">
                  <c:v>1531.1</c:v>
                </c:pt>
                <c:pt idx="41">
                  <c:v>1531.1</c:v>
                </c:pt>
                <c:pt idx="42">
                  <c:v>1531.1</c:v>
                </c:pt>
                <c:pt idx="43">
                  <c:v>1531.1</c:v>
                </c:pt>
                <c:pt idx="44">
                  <c:v>1531.1</c:v>
                </c:pt>
                <c:pt idx="45">
                  <c:v>1531.1</c:v>
                </c:pt>
                <c:pt idx="46">
                  <c:v>1531.1</c:v>
                </c:pt>
                <c:pt idx="47">
                  <c:v>1531.1</c:v>
                </c:pt>
                <c:pt idx="48">
                  <c:v>1531.1</c:v>
                </c:pt>
                <c:pt idx="49">
                  <c:v>1531.1</c:v>
                </c:pt>
                <c:pt idx="50">
                  <c:v>1531.1</c:v>
                </c:pt>
                <c:pt idx="51">
                  <c:v>1531.1</c:v>
                </c:pt>
                <c:pt idx="52">
                  <c:v>1531.1</c:v>
                </c:pt>
                <c:pt idx="53">
                  <c:v>1531.1</c:v>
                </c:pt>
                <c:pt idx="54">
                  <c:v>1531.1</c:v>
                </c:pt>
                <c:pt idx="55">
                  <c:v>1531.1</c:v>
                </c:pt>
                <c:pt idx="56">
                  <c:v>1531.1</c:v>
                </c:pt>
                <c:pt idx="57">
                  <c:v>1531.1</c:v>
                </c:pt>
                <c:pt idx="58">
                  <c:v>1531.1</c:v>
                </c:pt>
                <c:pt idx="59">
                  <c:v>1531.1</c:v>
                </c:pt>
                <c:pt idx="60">
                  <c:v>1531.1</c:v>
                </c:pt>
                <c:pt idx="61">
                  <c:v>1531.1</c:v>
                </c:pt>
              </c:numCache>
            </c:numRef>
          </c:val>
          <c:smooth val="0"/>
        </c:ser>
        <c:ser>
          <c:idx val="3"/>
          <c:order val="3"/>
          <c:tx>
            <c:v>data</c:v>
          </c:tx>
          <c:spPr>
            <a:ln>
              <a:solidFill>
                <a:schemeClr val="accent1"/>
              </a:solidFill>
            </a:ln>
          </c:spPr>
          <c:marker>
            <c:symbol val="circle"/>
            <c:size val="4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cat>
            <c:multiLvlStrRef>
              <c:f>[0]!G17_XValues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[0]!G17_Data</c:f>
              <c:numCache>
                <c:formatCode>General</c:formatCode>
                <c:ptCount val="62"/>
                <c:pt idx="0">
                  <c:v>1526.28</c:v>
                </c:pt>
                <c:pt idx="1">
                  <c:v>1526.9</c:v>
                </c:pt>
                <c:pt idx="2">
                  <c:v>1526.68</c:v>
                </c:pt>
                <c:pt idx="3">
                  <c:v>1526.7</c:v>
                </c:pt>
                <c:pt idx="4">
                  <c:v>1526.1</c:v>
                </c:pt>
                <c:pt idx="5">
                  <c:v>1526.8</c:v>
                </c:pt>
                <c:pt idx="6">
                  <c:v>1526.2</c:v>
                </c:pt>
                <c:pt idx="7">
                  <c:v>1526.9</c:v>
                </c:pt>
                <c:pt idx="8">
                  <c:v>1527</c:v>
                </c:pt>
                <c:pt idx="9">
                  <c:v>1526.75</c:v>
                </c:pt>
                <c:pt idx="10">
                  <c:v>1526.12</c:v>
                </c:pt>
                <c:pt idx="11">
                  <c:v>1527.03</c:v>
                </c:pt>
                <c:pt idx="12">
                  <c:v>1526.78</c:v>
                </c:pt>
                <c:pt idx="13">
                  <c:v>1526.68</c:v>
                </c:pt>
                <c:pt idx="14">
                  <c:v>1526.51</c:v>
                </c:pt>
                <c:pt idx="15">
                  <c:v>1526.57</c:v>
                </c:pt>
                <c:pt idx="16">
                  <c:v>1526.68</c:v>
                </c:pt>
                <c:pt idx="17">
                  <c:v>1526.49</c:v>
                </c:pt>
                <c:pt idx="18">
                  <c:v>1526.6</c:v>
                </c:pt>
                <c:pt idx="19">
                  <c:v>1526.6</c:v>
                </c:pt>
                <c:pt idx="20">
                  <c:v>1526.8</c:v>
                </c:pt>
                <c:pt idx="21">
                  <c:v>1526.76</c:v>
                </c:pt>
                <c:pt idx="22">
                  <c:v>1526.9</c:v>
                </c:pt>
                <c:pt idx="23">
                  <c:v>1526.7</c:v>
                </c:pt>
                <c:pt idx="24">
                  <c:v>1527.1</c:v>
                </c:pt>
                <c:pt idx="25">
                  <c:v>1526.52</c:v>
                </c:pt>
                <c:pt idx="26">
                  <c:v>1526.66</c:v>
                </c:pt>
                <c:pt idx="27">
                  <c:v>1526.15</c:v>
                </c:pt>
                <c:pt idx="28">
                  <c:v>1526.46</c:v>
                </c:pt>
                <c:pt idx="29">
                  <c:v>1526.44</c:v>
                </c:pt>
                <c:pt idx="30">
                  <c:v>1526.76</c:v>
                </c:pt>
                <c:pt idx="31">
                  <c:v>1526.2</c:v>
                </c:pt>
                <c:pt idx="32">
                  <c:v>1526.47</c:v>
                </c:pt>
                <c:pt idx="33">
                  <c:v>1526.61</c:v>
                </c:pt>
                <c:pt idx="34">
                  <c:v>1526.6</c:v>
                </c:pt>
                <c:pt idx="35">
                  <c:v>1526.76</c:v>
                </c:pt>
                <c:pt idx="36">
                  <c:v>1526.27</c:v>
                </c:pt>
                <c:pt idx="37">
                  <c:v>1526.49</c:v>
                </c:pt>
                <c:pt idx="38">
                  <c:v>1526.33</c:v>
                </c:pt>
                <c:pt idx="39">
                  <c:v>1526.48</c:v>
                </c:pt>
                <c:pt idx="40">
                  <c:v>1526.55</c:v>
                </c:pt>
                <c:pt idx="41">
                  <c:v>1527</c:v>
                </c:pt>
                <c:pt idx="42">
                  <c:v>1526.56</c:v>
                </c:pt>
                <c:pt idx="43">
                  <c:v>1527.02</c:v>
                </c:pt>
                <c:pt idx="44">
                  <c:v>1527.01</c:v>
                </c:pt>
                <c:pt idx="45">
                  <c:v>1526.68</c:v>
                </c:pt>
                <c:pt idx="46">
                  <c:v>1526.03</c:v>
                </c:pt>
                <c:pt idx="47">
                  <c:v>1526.91</c:v>
                </c:pt>
                <c:pt idx="48">
                  <c:v>1526.4</c:v>
                </c:pt>
                <c:pt idx="49">
                  <c:v>1526.92</c:v>
                </c:pt>
                <c:pt idx="50">
                  <c:v>1527</c:v>
                </c:pt>
                <c:pt idx="51">
                  <c:v>1526.37</c:v>
                </c:pt>
                <c:pt idx="52">
                  <c:v>1526.54</c:v>
                </c:pt>
                <c:pt idx="53">
                  <c:v>1526.36</c:v>
                </c:pt>
                <c:pt idx="54">
                  <c:v>1526.86</c:v>
                </c:pt>
                <c:pt idx="55">
                  <c:v>1526.75</c:v>
                </c:pt>
                <c:pt idx="56">
                  <c:v>1525.95</c:v>
                </c:pt>
                <c:pt idx="57">
                  <c:v>1526.62</c:v>
                </c:pt>
                <c:pt idx="58">
                  <c:v>1526.68</c:v>
                </c:pt>
                <c:pt idx="59">
                  <c:v>1526.59</c:v>
                </c:pt>
                <c:pt idx="60">
                  <c:v>1526.02</c:v>
                </c:pt>
                <c:pt idx="61">
                  <c:v>1526.58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326464"/>
        <c:axId val="81328384"/>
      </c:lineChart>
      <c:catAx>
        <c:axId val="81326464"/>
        <c:scaling>
          <c:orientation val="minMax"/>
        </c:scaling>
        <c:delete val="1"/>
        <c:axPos val="b"/>
        <c:majorTickMark val="out"/>
        <c:minorTickMark val="none"/>
        <c:tickLblPos val="nextTo"/>
        <c:crossAx val="81328384"/>
        <c:crosses val="autoZero"/>
        <c:auto val="0"/>
        <c:lblAlgn val="ctr"/>
        <c:lblOffset val="100"/>
        <c:noMultiLvlLbl val="1"/>
      </c:catAx>
      <c:valAx>
        <c:axId val="813283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1326464"/>
        <c:crosses val="autoZero"/>
        <c:crossBetween val="midCat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nominal</c:v>
          </c:tx>
          <c:spPr>
            <a:ln>
              <a:solidFill>
                <a:srgbClr val="92D050"/>
              </a:solidFill>
            </a:ln>
          </c:spPr>
          <c:marker>
            <c:symbol val="none"/>
          </c:marker>
          <c:cat>
            <c:multiLvlStrRef>
              <c:f>[0]!G18_XValues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[0]!G18_Nominal</c:f>
              <c:numCache>
                <c:formatCode>General</c:formatCode>
                <c:ptCount val="62"/>
                <c:pt idx="0">
                  <c:v>620.4</c:v>
                </c:pt>
                <c:pt idx="1">
                  <c:v>620.4</c:v>
                </c:pt>
                <c:pt idx="2">
                  <c:v>620.4</c:v>
                </c:pt>
                <c:pt idx="3">
                  <c:v>620.4</c:v>
                </c:pt>
                <c:pt idx="4">
                  <c:v>620.4</c:v>
                </c:pt>
                <c:pt idx="5">
                  <c:v>620.4</c:v>
                </c:pt>
                <c:pt idx="6">
                  <c:v>620.4</c:v>
                </c:pt>
                <c:pt idx="7">
                  <c:v>620.4</c:v>
                </c:pt>
                <c:pt idx="8">
                  <c:v>620.4</c:v>
                </c:pt>
                <c:pt idx="9">
                  <c:v>620.4</c:v>
                </c:pt>
                <c:pt idx="10">
                  <c:v>620.4</c:v>
                </c:pt>
                <c:pt idx="11">
                  <c:v>620.4</c:v>
                </c:pt>
                <c:pt idx="12">
                  <c:v>620.4</c:v>
                </c:pt>
                <c:pt idx="13">
                  <c:v>620.4</c:v>
                </c:pt>
                <c:pt idx="14">
                  <c:v>620.4</c:v>
                </c:pt>
                <c:pt idx="15">
                  <c:v>620.4</c:v>
                </c:pt>
                <c:pt idx="16">
                  <c:v>620.4</c:v>
                </c:pt>
                <c:pt idx="17">
                  <c:v>620.4</c:v>
                </c:pt>
                <c:pt idx="18">
                  <c:v>620.4</c:v>
                </c:pt>
                <c:pt idx="19">
                  <c:v>620.4</c:v>
                </c:pt>
                <c:pt idx="20">
                  <c:v>620.4</c:v>
                </c:pt>
                <c:pt idx="21">
                  <c:v>620.4</c:v>
                </c:pt>
                <c:pt idx="22">
                  <c:v>620.4</c:v>
                </c:pt>
                <c:pt idx="23">
                  <c:v>620.4</c:v>
                </c:pt>
                <c:pt idx="24">
                  <c:v>620.4</c:v>
                </c:pt>
                <c:pt idx="25">
                  <c:v>620.4</c:v>
                </c:pt>
                <c:pt idx="26">
                  <c:v>620.4</c:v>
                </c:pt>
                <c:pt idx="27">
                  <c:v>620.4</c:v>
                </c:pt>
                <c:pt idx="28">
                  <c:v>620.4</c:v>
                </c:pt>
                <c:pt idx="29">
                  <c:v>620.4</c:v>
                </c:pt>
                <c:pt idx="30">
                  <c:v>620.4</c:v>
                </c:pt>
                <c:pt idx="31">
                  <c:v>620.4</c:v>
                </c:pt>
                <c:pt idx="32">
                  <c:v>620.4</c:v>
                </c:pt>
                <c:pt idx="33">
                  <c:v>620.4</c:v>
                </c:pt>
                <c:pt idx="34">
                  <c:v>620.4</c:v>
                </c:pt>
                <c:pt idx="35">
                  <c:v>620.4</c:v>
                </c:pt>
                <c:pt idx="36">
                  <c:v>620.4</c:v>
                </c:pt>
                <c:pt idx="37">
                  <c:v>620.4</c:v>
                </c:pt>
                <c:pt idx="38">
                  <c:v>620.4</c:v>
                </c:pt>
                <c:pt idx="39">
                  <c:v>620.4</c:v>
                </c:pt>
                <c:pt idx="40">
                  <c:v>620.4</c:v>
                </c:pt>
                <c:pt idx="41">
                  <c:v>620.4</c:v>
                </c:pt>
                <c:pt idx="42">
                  <c:v>620.4</c:v>
                </c:pt>
                <c:pt idx="43">
                  <c:v>620.4</c:v>
                </c:pt>
                <c:pt idx="44">
                  <c:v>620.4</c:v>
                </c:pt>
                <c:pt idx="45">
                  <c:v>620.4</c:v>
                </c:pt>
                <c:pt idx="46">
                  <c:v>620.4</c:v>
                </c:pt>
                <c:pt idx="47">
                  <c:v>620.4</c:v>
                </c:pt>
                <c:pt idx="48">
                  <c:v>620.4</c:v>
                </c:pt>
                <c:pt idx="49">
                  <c:v>620.4</c:v>
                </c:pt>
                <c:pt idx="50">
                  <c:v>620.4</c:v>
                </c:pt>
                <c:pt idx="51">
                  <c:v>620.4</c:v>
                </c:pt>
                <c:pt idx="52">
                  <c:v>620.4</c:v>
                </c:pt>
                <c:pt idx="53">
                  <c:v>620.4</c:v>
                </c:pt>
                <c:pt idx="54">
                  <c:v>620.4</c:v>
                </c:pt>
                <c:pt idx="55">
                  <c:v>620.4</c:v>
                </c:pt>
                <c:pt idx="56">
                  <c:v>620.4</c:v>
                </c:pt>
                <c:pt idx="57">
                  <c:v>620.4</c:v>
                </c:pt>
                <c:pt idx="58">
                  <c:v>620.4</c:v>
                </c:pt>
                <c:pt idx="59">
                  <c:v>620.4</c:v>
                </c:pt>
                <c:pt idx="60">
                  <c:v>620.4</c:v>
                </c:pt>
                <c:pt idx="61">
                  <c:v>620.4</c:v>
                </c:pt>
              </c:numCache>
            </c:numRef>
          </c:val>
          <c:smooth val="0"/>
        </c:ser>
        <c:ser>
          <c:idx val="1"/>
          <c:order val="1"/>
          <c:tx>
            <c:v>lie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[0]!G18_XValues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[0]!G18_Lie</c:f>
              <c:numCache>
                <c:formatCode>General</c:formatCode>
                <c:ptCount val="62"/>
                <c:pt idx="0">
                  <c:v>616.4</c:v>
                </c:pt>
                <c:pt idx="1">
                  <c:v>616.4</c:v>
                </c:pt>
                <c:pt idx="2">
                  <c:v>616.4</c:v>
                </c:pt>
                <c:pt idx="3">
                  <c:v>616.4</c:v>
                </c:pt>
                <c:pt idx="4">
                  <c:v>616.4</c:v>
                </c:pt>
                <c:pt idx="5">
                  <c:v>616.4</c:v>
                </c:pt>
                <c:pt idx="6">
                  <c:v>616.4</c:v>
                </c:pt>
                <c:pt idx="7">
                  <c:v>616.4</c:v>
                </c:pt>
                <c:pt idx="8">
                  <c:v>616.4</c:v>
                </c:pt>
                <c:pt idx="9">
                  <c:v>616.4</c:v>
                </c:pt>
                <c:pt idx="10">
                  <c:v>616.4</c:v>
                </c:pt>
                <c:pt idx="11">
                  <c:v>616.4</c:v>
                </c:pt>
                <c:pt idx="12">
                  <c:v>616.4</c:v>
                </c:pt>
                <c:pt idx="13">
                  <c:v>616.4</c:v>
                </c:pt>
                <c:pt idx="14">
                  <c:v>616.4</c:v>
                </c:pt>
                <c:pt idx="15">
                  <c:v>616.4</c:v>
                </c:pt>
                <c:pt idx="16">
                  <c:v>616.4</c:v>
                </c:pt>
                <c:pt idx="17">
                  <c:v>616.4</c:v>
                </c:pt>
                <c:pt idx="18">
                  <c:v>616.4</c:v>
                </c:pt>
                <c:pt idx="19">
                  <c:v>616.4</c:v>
                </c:pt>
                <c:pt idx="20">
                  <c:v>616.4</c:v>
                </c:pt>
                <c:pt idx="21">
                  <c:v>616.4</c:v>
                </c:pt>
                <c:pt idx="22">
                  <c:v>616.4</c:v>
                </c:pt>
                <c:pt idx="23">
                  <c:v>616.4</c:v>
                </c:pt>
                <c:pt idx="24">
                  <c:v>616.4</c:v>
                </c:pt>
                <c:pt idx="25">
                  <c:v>616.4</c:v>
                </c:pt>
                <c:pt idx="26">
                  <c:v>616.4</c:v>
                </c:pt>
                <c:pt idx="27">
                  <c:v>616.4</c:v>
                </c:pt>
                <c:pt idx="28">
                  <c:v>616.4</c:v>
                </c:pt>
                <c:pt idx="29">
                  <c:v>616.4</c:v>
                </c:pt>
                <c:pt idx="30">
                  <c:v>616.4</c:v>
                </c:pt>
                <c:pt idx="31">
                  <c:v>616.4</c:v>
                </c:pt>
                <c:pt idx="32">
                  <c:v>616.4</c:v>
                </c:pt>
                <c:pt idx="33">
                  <c:v>616.4</c:v>
                </c:pt>
                <c:pt idx="34">
                  <c:v>616.4</c:v>
                </c:pt>
                <c:pt idx="35">
                  <c:v>616.4</c:v>
                </c:pt>
                <c:pt idx="36">
                  <c:v>616.4</c:v>
                </c:pt>
                <c:pt idx="37">
                  <c:v>616.4</c:v>
                </c:pt>
                <c:pt idx="38">
                  <c:v>616.4</c:v>
                </c:pt>
                <c:pt idx="39">
                  <c:v>616.4</c:v>
                </c:pt>
                <c:pt idx="40">
                  <c:v>616.4</c:v>
                </c:pt>
                <c:pt idx="41">
                  <c:v>616.4</c:v>
                </c:pt>
                <c:pt idx="42">
                  <c:v>616.4</c:v>
                </c:pt>
                <c:pt idx="43">
                  <c:v>616.4</c:v>
                </c:pt>
                <c:pt idx="44">
                  <c:v>616.4</c:v>
                </c:pt>
                <c:pt idx="45">
                  <c:v>616.4</c:v>
                </c:pt>
                <c:pt idx="46">
                  <c:v>616.4</c:v>
                </c:pt>
                <c:pt idx="47">
                  <c:v>616.4</c:v>
                </c:pt>
                <c:pt idx="48">
                  <c:v>616.4</c:v>
                </c:pt>
                <c:pt idx="49">
                  <c:v>616.4</c:v>
                </c:pt>
                <c:pt idx="50">
                  <c:v>616.4</c:v>
                </c:pt>
                <c:pt idx="51">
                  <c:v>616.4</c:v>
                </c:pt>
                <c:pt idx="52">
                  <c:v>616.4</c:v>
                </c:pt>
                <c:pt idx="53">
                  <c:v>616.4</c:v>
                </c:pt>
                <c:pt idx="54">
                  <c:v>616.4</c:v>
                </c:pt>
                <c:pt idx="55">
                  <c:v>616.4</c:v>
                </c:pt>
                <c:pt idx="56">
                  <c:v>616.4</c:v>
                </c:pt>
                <c:pt idx="57">
                  <c:v>616.4</c:v>
                </c:pt>
                <c:pt idx="58">
                  <c:v>616.4</c:v>
                </c:pt>
                <c:pt idx="59">
                  <c:v>616.4</c:v>
                </c:pt>
                <c:pt idx="60">
                  <c:v>616.4</c:v>
                </c:pt>
                <c:pt idx="61">
                  <c:v>616.4</c:v>
                </c:pt>
              </c:numCache>
            </c:numRef>
          </c:val>
          <c:smooth val="0"/>
        </c:ser>
        <c:ser>
          <c:idx val="2"/>
          <c:order val="2"/>
          <c:tx>
            <c:v>lse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[0]!G18_XValues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[0]!G18_Lse</c:f>
              <c:numCache>
                <c:formatCode>General</c:formatCode>
                <c:ptCount val="62"/>
                <c:pt idx="0">
                  <c:v>624.4</c:v>
                </c:pt>
                <c:pt idx="1">
                  <c:v>624.4</c:v>
                </c:pt>
                <c:pt idx="2">
                  <c:v>624.4</c:v>
                </c:pt>
                <c:pt idx="3">
                  <c:v>624.4</c:v>
                </c:pt>
                <c:pt idx="4">
                  <c:v>624.4</c:v>
                </c:pt>
                <c:pt idx="5">
                  <c:v>624.4</c:v>
                </c:pt>
                <c:pt idx="6">
                  <c:v>624.4</c:v>
                </c:pt>
                <c:pt idx="7">
                  <c:v>624.4</c:v>
                </c:pt>
                <c:pt idx="8">
                  <c:v>624.4</c:v>
                </c:pt>
                <c:pt idx="9">
                  <c:v>624.4</c:v>
                </c:pt>
                <c:pt idx="10">
                  <c:v>624.4</c:v>
                </c:pt>
                <c:pt idx="11">
                  <c:v>624.4</c:v>
                </c:pt>
                <c:pt idx="12">
                  <c:v>624.4</c:v>
                </c:pt>
                <c:pt idx="13">
                  <c:v>624.4</c:v>
                </c:pt>
                <c:pt idx="14">
                  <c:v>624.4</c:v>
                </c:pt>
                <c:pt idx="15">
                  <c:v>624.4</c:v>
                </c:pt>
                <c:pt idx="16">
                  <c:v>624.4</c:v>
                </c:pt>
                <c:pt idx="17">
                  <c:v>624.4</c:v>
                </c:pt>
                <c:pt idx="18">
                  <c:v>624.4</c:v>
                </c:pt>
                <c:pt idx="19">
                  <c:v>624.4</c:v>
                </c:pt>
                <c:pt idx="20">
                  <c:v>624.4</c:v>
                </c:pt>
                <c:pt idx="21">
                  <c:v>624.4</c:v>
                </c:pt>
                <c:pt idx="22">
                  <c:v>624.4</c:v>
                </c:pt>
                <c:pt idx="23">
                  <c:v>624.4</c:v>
                </c:pt>
                <c:pt idx="24">
                  <c:v>624.4</c:v>
                </c:pt>
                <c:pt idx="25">
                  <c:v>624.4</c:v>
                </c:pt>
                <c:pt idx="26">
                  <c:v>624.4</c:v>
                </c:pt>
                <c:pt idx="27">
                  <c:v>624.4</c:v>
                </c:pt>
                <c:pt idx="28">
                  <c:v>624.4</c:v>
                </c:pt>
                <c:pt idx="29">
                  <c:v>624.4</c:v>
                </c:pt>
                <c:pt idx="30">
                  <c:v>624.4</c:v>
                </c:pt>
                <c:pt idx="31">
                  <c:v>624.4</c:v>
                </c:pt>
                <c:pt idx="32">
                  <c:v>624.4</c:v>
                </c:pt>
                <c:pt idx="33">
                  <c:v>624.4</c:v>
                </c:pt>
                <c:pt idx="34">
                  <c:v>624.4</c:v>
                </c:pt>
                <c:pt idx="35">
                  <c:v>624.4</c:v>
                </c:pt>
                <c:pt idx="36">
                  <c:v>624.4</c:v>
                </c:pt>
                <c:pt idx="37">
                  <c:v>624.4</c:v>
                </c:pt>
                <c:pt idx="38">
                  <c:v>624.4</c:v>
                </c:pt>
                <c:pt idx="39">
                  <c:v>624.4</c:v>
                </c:pt>
                <c:pt idx="40">
                  <c:v>624.4</c:v>
                </c:pt>
                <c:pt idx="41">
                  <c:v>624.4</c:v>
                </c:pt>
                <c:pt idx="42">
                  <c:v>624.4</c:v>
                </c:pt>
                <c:pt idx="43">
                  <c:v>624.4</c:v>
                </c:pt>
                <c:pt idx="44">
                  <c:v>624.4</c:v>
                </c:pt>
                <c:pt idx="45">
                  <c:v>624.4</c:v>
                </c:pt>
                <c:pt idx="46">
                  <c:v>624.4</c:v>
                </c:pt>
                <c:pt idx="47">
                  <c:v>624.4</c:v>
                </c:pt>
                <c:pt idx="48">
                  <c:v>624.4</c:v>
                </c:pt>
                <c:pt idx="49">
                  <c:v>624.4</c:v>
                </c:pt>
                <c:pt idx="50">
                  <c:v>624.4</c:v>
                </c:pt>
                <c:pt idx="51">
                  <c:v>624.4</c:v>
                </c:pt>
                <c:pt idx="52">
                  <c:v>624.4</c:v>
                </c:pt>
                <c:pt idx="53">
                  <c:v>624.4</c:v>
                </c:pt>
                <c:pt idx="54">
                  <c:v>624.4</c:v>
                </c:pt>
                <c:pt idx="55">
                  <c:v>624.4</c:v>
                </c:pt>
                <c:pt idx="56">
                  <c:v>624.4</c:v>
                </c:pt>
                <c:pt idx="57">
                  <c:v>624.4</c:v>
                </c:pt>
                <c:pt idx="58">
                  <c:v>624.4</c:v>
                </c:pt>
                <c:pt idx="59">
                  <c:v>624.4</c:v>
                </c:pt>
                <c:pt idx="60">
                  <c:v>624.4</c:v>
                </c:pt>
                <c:pt idx="61">
                  <c:v>624.4</c:v>
                </c:pt>
              </c:numCache>
            </c:numRef>
          </c:val>
          <c:smooth val="0"/>
        </c:ser>
        <c:ser>
          <c:idx val="3"/>
          <c:order val="3"/>
          <c:tx>
            <c:v>data</c:v>
          </c:tx>
          <c:spPr>
            <a:ln>
              <a:solidFill>
                <a:schemeClr val="accent1"/>
              </a:solidFill>
            </a:ln>
          </c:spPr>
          <c:marker>
            <c:symbol val="circle"/>
            <c:size val="4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cat>
            <c:multiLvlStrRef>
              <c:f>[0]!G18_XValues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[0]!G18_Data</c:f>
              <c:numCache>
                <c:formatCode>General</c:formatCode>
                <c:ptCount val="62"/>
                <c:pt idx="0">
                  <c:v>618.94000000000005</c:v>
                </c:pt>
                <c:pt idx="1">
                  <c:v>620.28</c:v>
                </c:pt>
                <c:pt idx="2">
                  <c:v>618.80999999999995</c:v>
                </c:pt>
                <c:pt idx="3">
                  <c:v>618.79999999999995</c:v>
                </c:pt>
                <c:pt idx="4">
                  <c:v>620.20000000000005</c:v>
                </c:pt>
                <c:pt idx="5">
                  <c:v>619.79999999999995</c:v>
                </c:pt>
                <c:pt idx="6">
                  <c:v>618.1</c:v>
                </c:pt>
                <c:pt idx="7">
                  <c:v>619.79999999999995</c:v>
                </c:pt>
                <c:pt idx="8">
                  <c:v>618.6</c:v>
                </c:pt>
                <c:pt idx="9">
                  <c:v>618.33000000000004</c:v>
                </c:pt>
                <c:pt idx="10">
                  <c:v>620.28</c:v>
                </c:pt>
                <c:pt idx="11">
                  <c:v>620.47</c:v>
                </c:pt>
                <c:pt idx="12">
                  <c:v>618.78</c:v>
                </c:pt>
                <c:pt idx="13">
                  <c:v>618.83000000000004</c:v>
                </c:pt>
                <c:pt idx="14">
                  <c:v>620.20000000000005</c:v>
                </c:pt>
                <c:pt idx="15">
                  <c:v>620.70000000000005</c:v>
                </c:pt>
                <c:pt idx="16">
                  <c:v>620.97</c:v>
                </c:pt>
                <c:pt idx="17">
                  <c:v>618.36</c:v>
                </c:pt>
                <c:pt idx="18">
                  <c:v>619.20000000000005</c:v>
                </c:pt>
                <c:pt idx="19">
                  <c:v>620.29999999999995</c:v>
                </c:pt>
                <c:pt idx="20">
                  <c:v>621.70000000000005</c:v>
                </c:pt>
                <c:pt idx="21">
                  <c:v>617.66999999999996</c:v>
                </c:pt>
                <c:pt idx="22">
                  <c:v>620.70000000000005</c:v>
                </c:pt>
                <c:pt idx="23">
                  <c:v>620.1</c:v>
                </c:pt>
                <c:pt idx="24">
                  <c:v>619.29999999999995</c:v>
                </c:pt>
                <c:pt idx="25">
                  <c:v>621</c:v>
                </c:pt>
                <c:pt idx="26">
                  <c:v>620.05999999999995</c:v>
                </c:pt>
                <c:pt idx="27">
                  <c:v>619.28</c:v>
                </c:pt>
                <c:pt idx="28">
                  <c:v>621.36</c:v>
                </c:pt>
                <c:pt idx="29">
                  <c:v>620.65</c:v>
                </c:pt>
                <c:pt idx="30">
                  <c:v>620.78</c:v>
                </c:pt>
                <c:pt idx="31">
                  <c:v>620.20000000000005</c:v>
                </c:pt>
                <c:pt idx="32">
                  <c:v>620.17999999999995</c:v>
                </c:pt>
                <c:pt idx="33">
                  <c:v>619.99</c:v>
                </c:pt>
                <c:pt idx="34">
                  <c:v>619.9</c:v>
                </c:pt>
                <c:pt idx="35">
                  <c:v>620.65</c:v>
                </c:pt>
                <c:pt idx="36">
                  <c:v>619.91</c:v>
                </c:pt>
                <c:pt idx="37">
                  <c:v>620.02</c:v>
                </c:pt>
                <c:pt idx="38">
                  <c:v>619.42999999999995</c:v>
                </c:pt>
                <c:pt idx="39">
                  <c:v>619.48</c:v>
                </c:pt>
                <c:pt idx="40">
                  <c:v>619.54</c:v>
                </c:pt>
                <c:pt idx="41">
                  <c:v>618.47</c:v>
                </c:pt>
                <c:pt idx="42">
                  <c:v>619.36</c:v>
                </c:pt>
                <c:pt idx="43">
                  <c:v>619.27</c:v>
                </c:pt>
                <c:pt idx="44">
                  <c:v>620.45000000000005</c:v>
                </c:pt>
                <c:pt idx="45">
                  <c:v>619.14</c:v>
                </c:pt>
                <c:pt idx="46">
                  <c:v>619.54</c:v>
                </c:pt>
                <c:pt idx="47">
                  <c:v>619.87</c:v>
                </c:pt>
                <c:pt idx="48">
                  <c:v>620.42999999999995</c:v>
                </c:pt>
                <c:pt idx="49">
                  <c:v>619.73</c:v>
                </c:pt>
                <c:pt idx="50">
                  <c:v>618.29999999999995</c:v>
                </c:pt>
                <c:pt idx="51">
                  <c:v>619.83000000000004</c:v>
                </c:pt>
                <c:pt idx="52">
                  <c:v>619.79999999999995</c:v>
                </c:pt>
                <c:pt idx="53">
                  <c:v>619.91</c:v>
                </c:pt>
                <c:pt idx="54">
                  <c:v>619.22</c:v>
                </c:pt>
                <c:pt idx="55">
                  <c:v>620.19000000000005</c:v>
                </c:pt>
                <c:pt idx="56">
                  <c:v>620.6</c:v>
                </c:pt>
                <c:pt idx="57">
                  <c:v>619.84</c:v>
                </c:pt>
                <c:pt idx="58">
                  <c:v>618.67999999999995</c:v>
                </c:pt>
                <c:pt idx="59">
                  <c:v>618.69000000000005</c:v>
                </c:pt>
                <c:pt idx="60">
                  <c:v>619.38</c:v>
                </c:pt>
                <c:pt idx="61">
                  <c:v>620.45000000000005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711104"/>
        <c:axId val="81713024"/>
      </c:lineChart>
      <c:catAx>
        <c:axId val="81711104"/>
        <c:scaling>
          <c:orientation val="minMax"/>
        </c:scaling>
        <c:delete val="1"/>
        <c:axPos val="b"/>
        <c:majorTickMark val="out"/>
        <c:minorTickMark val="none"/>
        <c:tickLblPos val="nextTo"/>
        <c:crossAx val="81713024"/>
        <c:crosses val="autoZero"/>
        <c:auto val="0"/>
        <c:lblAlgn val="ctr"/>
        <c:lblOffset val="100"/>
        <c:noMultiLvlLbl val="1"/>
      </c:catAx>
      <c:valAx>
        <c:axId val="817130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1711104"/>
        <c:crosses val="autoZero"/>
        <c:crossBetween val="midCat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nominal</c:v>
          </c:tx>
          <c:spPr>
            <a:ln>
              <a:solidFill>
                <a:srgbClr val="92D050"/>
              </a:solidFill>
            </a:ln>
          </c:spPr>
          <c:marker>
            <c:symbol val="none"/>
          </c:marker>
          <c:cat>
            <c:multiLvlStrRef>
              <c:f>[0]!G19_XValues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[0]!G19_Nominal</c:f>
              <c:numCache>
                <c:formatCode>General</c:formatCode>
                <c:ptCount val="62"/>
                <c:pt idx="0">
                  <c:v>918</c:v>
                </c:pt>
                <c:pt idx="1">
                  <c:v>918</c:v>
                </c:pt>
                <c:pt idx="2">
                  <c:v>918</c:v>
                </c:pt>
                <c:pt idx="3">
                  <c:v>918</c:v>
                </c:pt>
                <c:pt idx="4">
                  <c:v>918</c:v>
                </c:pt>
                <c:pt idx="5">
                  <c:v>918</c:v>
                </c:pt>
                <c:pt idx="6">
                  <c:v>918</c:v>
                </c:pt>
                <c:pt idx="7">
                  <c:v>918</c:v>
                </c:pt>
                <c:pt idx="8">
                  <c:v>918</c:v>
                </c:pt>
                <c:pt idx="9">
                  <c:v>918</c:v>
                </c:pt>
                <c:pt idx="10">
                  <c:v>918</c:v>
                </c:pt>
                <c:pt idx="11">
                  <c:v>918</c:v>
                </c:pt>
                <c:pt idx="12">
                  <c:v>918</c:v>
                </c:pt>
                <c:pt idx="13">
                  <c:v>918</c:v>
                </c:pt>
                <c:pt idx="14">
                  <c:v>918</c:v>
                </c:pt>
                <c:pt idx="15">
                  <c:v>918</c:v>
                </c:pt>
                <c:pt idx="16">
                  <c:v>918</c:v>
                </c:pt>
                <c:pt idx="17">
                  <c:v>918</c:v>
                </c:pt>
                <c:pt idx="18">
                  <c:v>918</c:v>
                </c:pt>
                <c:pt idx="19">
                  <c:v>918</c:v>
                </c:pt>
                <c:pt idx="20">
                  <c:v>918</c:v>
                </c:pt>
                <c:pt idx="21">
                  <c:v>918</c:v>
                </c:pt>
                <c:pt idx="22">
                  <c:v>918</c:v>
                </c:pt>
                <c:pt idx="23">
                  <c:v>918</c:v>
                </c:pt>
                <c:pt idx="24">
                  <c:v>918</c:v>
                </c:pt>
                <c:pt idx="25">
                  <c:v>918</c:v>
                </c:pt>
                <c:pt idx="26">
                  <c:v>918</c:v>
                </c:pt>
                <c:pt idx="27">
                  <c:v>918</c:v>
                </c:pt>
                <c:pt idx="28">
                  <c:v>918</c:v>
                </c:pt>
                <c:pt idx="29">
                  <c:v>918</c:v>
                </c:pt>
                <c:pt idx="30">
                  <c:v>918</c:v>
                </c:pt>
                <c:pt idx="31">
                  <c:v>918</c:v>
                </c:pt>
                <c:pt idx="32">
                  <c:v>918</c:v>
                </c:pt>
                <c:pt idx="33">
                  <c:v>918</c:v>
                </c:pt>
                <c:pt idx="34">
                  <c:v>918</c:v>
                </c:pt>
                <c:pt idx="35">
                  <c:v>918</c:v>
                </c:pt>
                <c:pt idx="36">
                  <c:v>918</c:v>
                </c:pt>
                <c:pt idx="37">
                  <c:v>918</c:v>
                </c:pt>
                <c:pt idx="38">
                  <c:v>918</c:v>
                </c:pt>
                <c:pt idx="39">
                  <c:v>918</c:v>
                </c:pt>
                <c:pt idx="40">
                  <c:v>918</c:v>
                </c:pt>
                <c:pt idx="41">
                  <c:v>918</c:v>
                </c:pt>
                <c:pt idx="42">
                  <c:v>918</c:v>
                </c:pt>
                <c:pt idx="43">
                  <c:v>918</c:v>
                </c:pt>
                <c:pt idx="44">
                  <c:v>918</c:v>
                </c:pt>
                <c:pt idx="45">
                  <c:v>918</c:v>
                </c:pt>
                <c:pt idx="46">
                  <c:v>918</c:v>
                </c:pt>
                <c:pt idx="47">
                  <c:v>918</c:v>
                </c:pt>
                <c:pt idx="48">
                  <c:v>918</c:v>
                </c:pt>
                <c:pt idx="49">
                  <c:v>918</c:v>
                </c:pt>
                <c:pt idx="50">
                  <c:v>918</c:v>
                </c:pt>
                <c:pt idx="51">
                  <c:v>918</c:v>
                </c:pt>
                <c:pt idx="52">
                  <c:v>918</c:v>
                </c:pt>
                <c:pt idx="53">
                  <c:v>918</c:v>
                </c:pt>
                <c:pt idx="54">
                  <c:v>918</c:v>
                </c:pt>
                <c:pt idx="55">
                  <c:v>918</c:v>
                </c:pt>
                <c:pt idx="56">
                  <c:v>918</c:v>
                </c:pt>
                <c:pt idx="57">
                  <c:v>918</c:v>
                </c:pt>
                <c:pt idx="58">
                  <c:v>918</c:v>
                </c:pt>
                <c:pt idx="59">
                  <c:v>918</c:v>
                </c:pt>
                <c:pt idx="60">
                  <c:v>918</c:v>
                </c:pt>
                <c:pt idx="61">
                  <c:v>918</c:v>
                </c:pt>
              </c:numCache>
            </c:numRef>
          </c:val>
          <c:smooth val="0"/>
        </c:ser>
        <c:ser>
          <c:idx val="1"/>
          <c:order val="1"/>
          <c:tx>
            <c:v>lie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[0]!G19_XValues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[0]!G19_Lie</c:f>
              <c:numCache>
                <c:formatCode>General</c:formatCode>
                <c:ptCount val="62"/>
                <c:pt idx="0">
                  <c:v>914</c:v>
                </c:pt>
                <c:pt idx="1">
                  <c:v>914</c:v>
                </c:pt>
                <c:pt idx="2">
                  <c:v>914</c:v>
                </c:pt>
                <c:pt idx="3">
                  <c:v>914</c:v>
                </c:pt>
                <c:pt idx="4">
                  <c:v>914</c:v>
                </c:pt>
                <c:pt idx="5">
                  <c:v>914</c:v>
                </c:pt>
                <c:pt idx="6">
                  <c:v>914</c:v>
                </c:pt>
                <c:pt idx="7">
                  <c:v>914</c:v>
                </c:pt>
                <c:pt idx="8">
                  <c:v>914</c:v>
                </c:pt>
                <c:pt idx="9">
                  <c:v>914</c:v>
                </c:pt>
                <c:pt idx="10">
                  <c:v>914</c:v>
                </c:pt>
                <c:pt idx="11">
                  <c:v>914</c:v>
                </c:pt>
                <c:pt idx="12">
                  <c:v>914</c:v>
                </c:pt>
                <c:pt idx="13">
                  <c:v>914</c:v>
                </c:pt>
                <c:pt idx="14">
                  <c:v>914</c:v>
                </c:pt>
                <c:pt idx="15">
                  <c:v>914</c:v>
                </c:pt>
                <c:pt idx="16">
                  <c:v>914</c:v>
                </c:pt>
                <c:pt idx="17">
                  <c:v>914</c:v>
                </c:pt>
                <c:pt idx="18">
                  <c:v>914</c:v>
                </c:pt>
                <c:pt idx="19">
                  <c:v>914</c:v>
                </c:pt>
                <c:pt idx="20">
                  <c:v>914</c:v>
                </c:pt>
                <c:pt idx="21">
                  <c:v>914</c:v>
                </c:pt>
                <c:pt idx="22">
                  <c:v>914</c:v>
                </c:pt>
                <c:pt idx="23">
                  <c:v>914</c:v>
                </c:pt>
                <c:pt idx="24">
                  <c:v>914</c:v>
                </c:pt>
                <c:pt idx="25">
                  <c:v>914</c:v>
                </c:pt>
                <c:pt idx="26">
                  <c:v>914</c:v>
                </c:pt>
                <c:pt idx="27">
                  <c:v>914</c:v>
                </c:pt>
                <c:pt idx="28">
                  <c:v>914</c:v>
                </c:pt>
                <c:pt idx="29">
                  <c:v>914</c:v>
                </c:pt>
                <c:pt idx="30">
                  <c:v>914</c:v>
                </c:pt>
                <c:pt idx="31">
                  <c:v>914</c:v>
                </c:pt>
                <c:pt idx="32">
                  <c:v>914</c:v>
                </c:pt>
                <c:pt idx="33">
                  <c:v>914</c:v>
                </c:pt>
                <c:pt idx="34">
                  <c:v>914</c:v>
                </c:pt>
                <c:pt idx="35">
                  <c:v>914</c:v>
                </c:pt>
                <c:pt idx="36">
                  <c:v>914</c:v>
                </c:pt>
                <c:pt idx="37">
                  <c:v>914</c:v>
                </c:pt>
                <c:pt idx="38">
                  <c:v>914</c:v>
                </c:pt>
                <c:pt idx="39">
                  <c:v>914</c:v>
                </c:pt>
                <c:pt idx="40">
                  <c:v>914</c:v>
                </c:pt>
                <c:pt idx="41">
                  <c:v>914</c:v>
                </c:pt>
                <c:pt idx="42">
                  <c:v>914</c:v>
                </c:pt>
                <c:pt idx="43">
                  <c:v>914</c:v>
                </c:pt>
                <c:pt idx="44">
                  <c:v>914</c:v>
                </c:pt>
                <c:pt idx="45">
                  <c:v>914</c:v>
                </c:pt>
                <c:pt idx="46">
                  <c:v>914</c:v>
                </c:pt>
                <c:pt idx="47">
                  <c:v>914</c:v>
                </c:pt>
                <c:pt idx="48">
                  <c:v>914</c:v>
                </c:pt>
                <c:pt idx="49">
                  <c:v>914</c:v>
                </c:pt>
                <c:pt idx="50">
                  <c:v>914</c:v>
                </c:pt>
                <c:pt idx="51">
                  <c:v>914</c:v>
                </c:pt>
                <c:pt idx="52">
                  <c:v>914</c:v>
                </c:pt>
                <c:pt idx="53">
                  <c:v>914</c:v>
                </c:pt>
                <c:pt idx="54">
                  <c:v>914</c:v>
                </c:pt>
                <c:pt idx="55">
                  <c:v>914</c:v>
                </c:pt>
                <c:pt idx="56">
                  <c:v>914</c:v>
                </c:pt>
                <c:pt idx="57">
                  <c:v>914</c:v>
                </c:pt>
                <c:pt idx="58">
                  <c:v>914</c:v>
                </c:pt>
                <c:pt idx="59">
                  <c:v>914</c:v>
                </c:pt>
                <c:pt idx="60">
                  <c:v>914</c:v>
                </c:pt>
                <c:pt idx="61">
                  <c:v>914</c:v>
                </c:pt>
              </c:numCache>
            </c:numRef>
          </c:val>
          <c:smooth val="0"/>
        </c:ser>
        <c:ser>
          <c:idx val="2"/>
          <c:order val="2"/>
          <c:tx>
            <c:v>lse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[0]!G19_XValues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[0]!G19_Lse</c:f>
              <c:numCache>
                <c:formatCode>General</c:formatCode>
                <c:ptCount val="62"/>
                <c:pt idx="0">
                  <c:v>922</c:v>
                </c:pt>
                <c:pt idx="1">
                  <c:v>922</c:v>
                </c:pt>
                <c:pt idx="2">
                  <c:v>922</c:v>
                </c:pt>
                <c:pt idx="3">
                  <c:v>922</c:v>
                </c:pt>
                <c:pt idx="4">
                  <c:v>922</c:v>
                </c:pt>
                <c:pt idx="5">
                  <c:v>922</c:v>
                </c:pt>
                <c:pt idx="6">
                  <c:v>922</c:v>
                </c:pt>
                <c:pt idx="7">
                  <c:v>922</c:v>
                </c:pt>
                <c:pt idx="8">
                  <c:v>922</c:v>
                </c:pt>
                <c:pt idx="9">
                  <c:v>922</c:v>
                </c:pt>
                <c:pt idx="10">
                  <c:v>922</c:v>
                </c:pt>
                <c:pt idx="11">
                  <c:v>922</c:v>
                </c:pt>
                <c:pt idx="12">
                  <c:v>922</c:v>
                </c:pt>
                <c:pt idx="13">
                  <c:v>922</c:v>
                </c:pt>
                <c:pt idx="14">
                  <c:v>922</c:v>
                </c:pt>
                <c:pt idx="15">
                  <c:v>922</c:v>
                </c:pt>
                <c:pt idx="16">
                  <c:v>922</c:v>
                </c:pt>
                <c:pt idx="17">
                  <c:v>922</c:v>
                </c:pt>
                <c:pt idx="18">
                  <c:v>922</c:v>
                </c:pt>
                <c:pt idx="19">
                  <c:v>922</c:v>
                </c:pt>
                <c:pt idx="20">
                  <c:v>922</c:v>
                </c:pt>
                <c:pt idx="21">
                  <c:v>922</c:v>
                </c:pt>
                <c:pt idx="22">
                  <c:v>922</c:v>
                </c:pt>
                <c:pt idx="23">
                  <c:v>922</c:v>
                </c:pt>
                <c:pt idx="24">
                  <c:v>922</c:v>
                </c:pt>
                <c:pt idx="25">
                  <c:v>922</c:v>
                </c:pt>
                <c:pt idx="26">
                  <c:v>922</c:v>
                </c:pt>
                <c:pt idx="27">
                  <c:v>922</c:v>
                </c:pt>
                <c:pt idx="28">
                  <c:v>922</c:v>
                </c:pt>
                <c:pt idx="29">
                  <c:v>922</c:v>
                </c:pt>
                <c:pt idx="30">
                  <c:v>922</c:v>
                </c:pt>
                <c:pt idx="31">
                  <c:v>922</c:v>
                </c:pt>
                <c:pt idx="32">
                  <c:v>922</c:v>
                </c:pt>
                <c:pt idx="33">
                  <c:v>922</c:v>
                </c:pt>
                <c:pt idx="34">
                  <c:v>922</c:v>
                </c:pt>
                <c:pt idx="35">
                  <c:v>922</c:v>
                </c:pt>
                <c:pt idx="36">
                  <c:v>922</c:v>
                </c:pt>
                <c:pt idx="37">
                  <c:v>922</c:v>
                </c:pt>
                <c:pt idx="38">
                  <c:v>922</c:v>
                </c:pt>
                <c:pt idx="39">
                  <c:v>922</c:v>
                </c:pt>
                <c:pt idx="40">
                  <c:v>922</c:v>
                </c:pt>
                <c:pt idx="41">
                  <c:v>922</c:v>
                </c:pt>
                <c:pt idx="42">
                  <c:v>922</c:v>
                </c:pt>
                <c:pt idx="43">
                  <c:v>922</c:v>
                </c:pt>
                <c:pt idx="44">
                  <c:v>922</c:v>
                </c:pt>
                <c:pt idx="45">
                  <c:v>922</c:v>
                </c:pt>
                <c:pt idx="46">
                  <c:v>922</c:v>
                </c:pt>
                <c:pt idx="47">
                  <c:v>922</c:v>
                </c:pt>
                <c:pt idx="48">
                  <c:v>922</c:v>
                </c:pt>
                <c:pt idx="49">
                  <c:v>922</c:v>
                </c:pt>
                <c:pt idx="50">
                  <c:v>922</c:v>
                </c:pt>
                <c:pt idx="51">
                  <c:v>922</c:v>
                </c:pt>
                <c:pt idx="52">
                  <c:v>922</c:v>
                </c:pt>
                <c:pt idx="53">
                  <c:v>922</c:v>
                </c:pt>
                <c:pt idx="54">
                  <c:v>922</c:v>
                </c:pt>
                <c:pt idx="55">
                  <c:v>922</c:v>
                </c:pt>
                <c:pt idx="56">
                  <c:v>922</c:v>
                </c:pt>
                <c:pt idx="57">
                  <c:v>922</c:v>
                </c:pt>
                <c:pt idx="58">
                  <c:v>922</c:v>
                </c:pt>
                <c:pt idx="59">
                  <c:v>922</c:v>
                </c:pt>
                <c:pt idx="60">
                  <c:v>922</c:v>
                </c:pt>
                <c:pt idx="61">
                  <c:v>922</c:v>
                </c:pt>
              </c:numCache>
            </c:numRef>
          </c:val>
          <c:smooth val="0"/>
        </c:ser>
        <c:ser>
          <c:idx val="3"/>
          <c:order val="3"/>
          <c:tx>
            <c:v>data</c:v>
          </c:tx>
          <c:spPr>
            <a:ln>
              <a:solidFill>
                <a:schemeClr val="accent1"/>
              </a:solidFill>
            </a:ln>
          </c:spPr>
          <c:marker>
            <c:symbol val="circle"/>
            <c:size val="4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cat>
            <c:multiLvlStrRef>
              <c:f>[0]!G19_XValues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[0]!G19_Data</c:f>
              <c:numCache>
                <c:formatCode>General</c:formatCode>
                <c:ptCount val="62"/>
                <c:pt idx="0">
                  <c:v>917.77</c:v>
                </c:pt>
                <c:pt idx="1">
                  <c:v>918.88</c:v>
                </c:pt>
                <c:pt idx="2">
                  <c:v>917.94</c:v>
                </c:pt>
                <c:pt idx="3">
                  <c:v>919</c:v>
                </c:pt>
                <c:pt idx="4">
                  <c:v>918.3</c:v>
                </c:pt>
                <c:pt idx="5">
                  <c:v>918.2</c:v>
                </c:pt>
                <c:pt idx="6">
                  <c:v>918.7</c:v>
                </c:pt>
                <c:pt idx="7">
                  <c:v>918.6</c:v>
                </c:pt>
                <c:pt idx="8">
                  <c:v>918.2</c:v>
                </c:pt>
                <c:pt idx="9">
                  <c:v>918.21</c:v>
                </c:pt>
                <c:pt idx="10">
                  <c:v>918.91</c:v>
                </c:pt>
                <c:pt idx="11">
                  <c:v>919.08</c:v>
                </c:pt>
                <c:pt idx="12">
                  <c:v>918.79</c:v>
                </c:pt>
                <c:pt idx="13">
                  <c:v>917.96</c:v>
                </c:pt>
                <c:pt idx="14">
                  <c:v>918.54</c:v>
                </c:pt>
                <c:pt idx="15">
                  <c:v>918.82</c:v>
                </c:pt>
                <c:pt idx="16">
                  <c:v>919.4</c:v>
                </c:pt>
                <c:pt idx="17">
                  <c:v>918.53</c:v>
                </c:pt>
                <c:pt idx="18">
                  <c:v>918.2</c:v>
                </c:pt>
                <c:pt idx="19">
                  <c:v>919.3</c:v>
                </c:pt>
                <c:pt idx="20">
                  <c:v>919</c:v>
                </c:pt>
                <c:pt idx="21">
                  <c:v>917.89</c:v>
                </c:pt>
                <c:pt idx="22">
                  <c:v>918.3</c:v>
                </c:pt>
                <c:pt idx="23">
                  <c:v>918.7</c:v>
                </c:pt>
                <c:pt idx="24">
                  <c:v>918.2</c:v>
                </c:pt>
                <c:pt idx="25">
                  <c:v>918.85</c:v>
                </c:pt>
                <c:pt idx="26">
                  <c:v>918.49</c:v>
                </c:pt>
                <c:pt idx="27">
                  <c:v>917.83</c:v>
                </c:pt>
                <c:pt idx="28">
                  <c:v>919.21</c:v>
                </c:pt>
                <c:pt idx="29">
                  <c:v>919.03</c:v>
                </c:pt>
                <c:pt idx="30">
                  <c:v>918.67</c:v>
                </c:pt>
                <c:pt idx="31">
                  <c:v>918.78</c:v>
                </c:pt>
                <c:pt idx="32">
                  <c:v>918.41</c:v>
                </c:pt>
                <c:pt idx="33">
                  <c:v>918.8</c:v>
                </c:pt>
                <c:pt idx="34">
                  <c:v>918.5</c:v>
                </c:pt>
                <c:pt idx="35">
                  <c:v>918.8</c:v>
                </c:pt>
                <c:pt idx="36">
                  <c:v>918.59</c:v>
                </c:pt>
                <c:pt idx="37">
                  <c:v>918.56</c:v>
                </c:pt>
                <c:pt idx="38">
                  <c:v>918.21</c:v>
                </c:pt>
                <c:pt idx="39">
                  <c:v>918.23</c:v>
                </c:pt>
                <c:pt idx="40">
                  <c:v>918.05</c:v>
                </c:pt>
                <c:pt idx="41">
                  <c:v>917.5</c:v>
                </c:pt>
                <c:pt idx="42">
                  <c:v>918.21</c:v>
                </c:pt>
                <c:pt idx="43">
                  <c:v>918.07</c:v>
                </c:pt>
                <c:pt idx="44">
                  <c:v>918.77</c:v>
                </c:pt>
                <c:pt idx="45">
                  <c:v>918.2</c:v>
                </c:pt>
                <c:pt idx="46">
                  <c:v>918.58</c:v>
                </c:pt>
                <c:pt idx="47">
                  <c:v>918.6</c:v>
                </c:pt>
                <c:pt idx="48">
                  <c:v>919.61</c:v>
                </c:pt>
                <c:pt idx="49">
                  <c:v>918.12</c:v>
                </c:pt>
                <c:pt idx="50">
                  <c:v>917.95</c:v>
                </c:pt>
                <c:pt idx="51">
                  <c:v>918.46</c:v>
                </c:pt>
                <c:pt idx="52">
                  <c:v>918.54</c:v>
                </c:pt>
                <c:pt idx="53">
                  <c:v>919.11</c:v>
                </c:pt>
                <c:pt idx="54">
                  <c:v>918.4</c:v>
                </c:pt>
                <c:pt idx="55">
                  <c:v>918.44</c:v>
                </c:pt>
                <c:pt idx="56">
                  <c:v>919.89</c:v>
                </c:pt>
                <c:pt idx="57">
                  <c:v>918.99</c:v>
                </c:pt>
                <c:pt idx="58">
                  <c:v>918.24</c:v>
                </c:pt>
                <c:pt idx="59">
                  <c:v>917.91</c:v>
                </c:pt>
                <c:pt idx="60">
                  <c:v>918.21</c:v>
                </c:pt>
                <c:pt idx="61">
                  <c:v>918.86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735040"/>
        <c:axId val="81761792"/>
      </c:lineChart>
      <c:catAx>
        <c:axId val="81735040"/>
        <c:scaling>
          <c:orientation val="minMax"/>
        </c:scaling>
        <c:delete val="1"/>
        <c:axPos val="b"/>
        <c:majorTickMark val="out"/>
        <c:minorTickMark val="none"/>
        <c:tickLblPos val="nextTo"/>
        <c:crossAx val="81761792"/>
        <c:crosses val="autoZero"/>
        <c:auto val="0"/>
        <c:lblAlgn val="ctr"/>
        <c:lblOffset val="100"/>
        <c:noMultiLvlLbl val="1"/>
      </c:catAx>
      <c:valAx>
        <c:axId val="817617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1735040"/>
        <c:crosses val="autoZero"/>
        <c:crossBetween val="midCat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nominal</c:v>
          </c:tx>
          <c:spPr>
            <a:ln>
              <a:solidFill>
                <a:srgbClr val="92D050"/>
              </a:solidFill>
            </a:ln>
          </c:spPr>
          <c:marker>
            <c:symbol val="none"/>
          </c:marker>
          <c:cat>
            <c:multiLvlStrRef>
              <c:f>[0]!G20_XValues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[0]!G20_Nominal</c:f>
              <c:numCache>
                <c:formatCode>General</c:formatCode>
                <c:ptCount val="62"/>
                <c:pt idx="0">
                  <c:v>919.2</c:v>
                </c:pt>
                <c:pt idx="1">
                  <c:v>919.2</c:v>
                </c:pt>
                <c:pt idx="2">
                  <c:v>919.2</c:v>
                </c:pt>
                <c:pt idx="3">
                  <c:v>919.2</c:v>
                </c:pt>
                <c:pt idx="4">
                  <c:v>919.2</c:v>
                </c:pt>
                <c:pt idx="5">
                  <c:v>919.2</c:v>
                </c:pt>
                <c:pt idx="6">
                  <c:v>919.2</c:v>
                </c:pt>
                <c:pt idx="7">
                  <c:v>919.2</c:v>
                </c:pt>
                <c:pt idx="8">
                  <c:v>919.2</c:v>
                </c:pt>
                <c:pt idx="9">
                  <c:v>919.2</c:v>
                </c:pt>
                <c:pt idx="10">
                  <c:v>919.2</c:v>
                </c:pt>
                <c:pt idx="11">
                  <c:v>919.2</c:v>
                </c:pt>
                <c:pt idx="12">
                  <c:v>919.2</c:v>
                </c:pt>
                <c:pt idx="13">
                  <c:v>919.2</c:v>
                </c:pt>
                <c:pt idx="14">
                  <c:v>919.2</c:v>
                </c:pt>
                <c:pt idx="15">
                  <c:v>919.2</c:v>
                </c:pt>
                <c:pt idx="16">
                  <c:v>919.2</c:v>
                </c:pt>
                <c:pt idx="17">
                  <c:v>919.2</c:v>
                </c:pt>
                <c:pt idx="18">
                  <c:v>919.2</c:v>
                </c:pt>
                <c:pt idx="19">
                  <c:v>919.2</c:v>
                </c:pt>
                <c:pt idx="20">
                  <c:v>919.2</c:v>
                </c:pt>
                <c:pt idx="21">
                  <c:v>919.2</c:v>
                </c:pt>
                <c:pt idx="22">
                  <c:v>919.2</c:v>
                </c:pt>
                <c:pt idx="23">
                  <c:v>919.2</c:v>
                </c:pt>
                <c:pt idx="24">
                  <c:v>919.2</c:v>
                </c:pt>
                <c:pt idx="25">
                  <c:v>919.2</c:v>
                </c:pt>
                <c:pt idx="26">
                  <c:v>919.2</c:v>
                </c:pt>
                <c:pt idx="27">
                  <c:v>919.2</c:v>
                </c:pt>
                <c:pt idx="28">
                  <c:v>919.2</c:v>
                </c:pt>
                <c:pt idx="29">
                  <c:v>919.2</c:v>
                </c:pt>
                <c:pt idx="30">
                  <c:v>919.2</c:v>
                </c:pt>
                <c:pt idx="31">
                  <c:v>919.2</c:v>
                </c:pt>
                <c:pt idx="32">
                  <c:v>919.2</c:v>
                </c:pt>
                <c:pt idx="33">
                  <c:v>919.2</c:v>
                </c:pt>
                <c:pt idx="34">
                  <c:v>919.2</c:v>
                </c:pt>
                <c:pt idx="35">
                  <c:v>919.2</c:v>
                </c:pt>
                <c:pt idx="36">
                  <c:v>919.2</c:v>
                </c:pt>
                <c:pt idx="37">
                  <c:v>919.2</c:v>
                </c:pt>
                <c:pt idx="38">
                  <c:v>919.2</c:v>
                </c:pt>
                <c:pt idx="39">
                  <c:v>919.2</c:v>
                </c:pt>
                <c:pt idx="40">
                  <c:v>919.2</c:v>
                </c:pt>
                <c:pt idx="41">
                  <c:v>919.2</c:v>
                </c:pt>
                <c:pt idx="42">
                  <c:v>919.2</c:v>
                </c:pt>
                <c:pt idx="43">
                  <c:v>919.2</c:v>
                </c:pt>
                <c:pt idx="44">
                  <c:v>919.2</c:v>
                </c:pt>
                <c:pt idx="45">
                  <c:v>919.2</c:v>
                </c:pt>
                <c:pt idx="46">
                  <c:v>919.2</c:v>
                </c:pt>
                <c:pt idx="47">
                  <c:v>919.2</c:v>
                </c:pt>
                <c:pt idx="48">
                  <c:v>919.2</c:v>
                </c:pt>
                <c:pt idx="49">
                  <c:v>919.2</c:v>
                </c:pt>
                <c:pt idx="50">
                  <c:v>919.2</c:v>
                </c:pt>
                <c:pt idx="51">
                  <c:v>919.2</c:v>
                </c:pt>
                <c:pt idx="52">
                  <c:v>919.2</c:v>
                </c:pt>
                <c:pt idx="53">
                  <c:v>919.2</c:v>
                </c:pt>
                <c:pt idx="54">
                  <c:v>919.2</c:v>
                </c:pt>
                <c:pt idx="55">
                  <c:v>919.2</c:v>
                </c:pt>
                <c:pt idx="56">
                  <c:v>919.2</c:v>
                </c:pt>
                <c:pt idx="57">
                  <c:v>919.2</c:v>
                </c:pt>
                <c:pt idx="58">
                  <c:v>919.2</c:v>
                </c:pt>
                <c:pt idx="59">
                  <c:v>919.2</c:v>
                </c:pt>
                <c:pt idx="60">
                  <c:v>919.2</c:v>
                </c:pt>
                <c:pt idx="61">
                  <c:v>919.2</c:v>
                </c:pt>
              </c:numCache>
            </c:numRef>
          </c:val>
          <c:smooth val="0"/>
        </c:ser>
        <c:ser>
          <c:idx val="1"/>
          <c:order val="1"/>
          <c:tx>
            <c:v>lie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[0]!G20_XValues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[0]!G20_Lie</c:f>
              <c:numCache>
                <c:formatCode>General</c:formatCode>
                <c:ptCount val="62"/>
                <c:pt idx="0">
                  <c:v>915.2</c:v>
                </c:pt>
                <c:pt idx="1">
                  <c:v>915.2</c:v>
                </c:pt>
                <c:pt idx="2">
                  <c:v>915.2</c:v>
                </c:pt>
                <c:pt idx="3">
                  <c:v>915.2</c:v>
                </c:pt>
                <c:pt idx="4">
                  <c:v>915.2</c:v>
                </c:pt>
                <c:pt idx="5">
                  <c:v>915.2</c:v>
                </c:pt>
                <c:pt idx="6">
                  <c:v>915.2</c:v>
                </c:pt>
                <c:pt idx="7">
                  <c:v>915.2</c:v>
                </c:pt>
                <c:pt idx="8">
                  <c:v>915.2</c:v>
                </c:pt>
                <c:pt idx="9">
                  <c:v>915.2</c:v>
                </c:pt>
                <c:pt idx="10">
                  <c:v>915.2</c:v>
                </c:pt>
                <c:pt idx="11">
                  <c:v>915.2</c:v>
                </c:pt>
                <c:pt idx="12">
                  <c:v>915.2</c:v>
                </c:pt>
                <c:pt idx="13">
                  <c:v>915.2</c:v>
                </c:pt>
                <c:pt idx="14">
                  <c:v>915.2</c:v>
                </c:pt>
                <c:pt idx="15">
                  <c:v>915.2</c:v>
                </c:pt>
                <c:pt idx="16">
                  <c:v>915.2</c:v>
                </c:pt>
                <c:pt idx="17">
                  <c:v>915.2</c:v>
                </c:pt>
                <c:pt idx="18">
                  <c:v>915.2</c:v>
                </c:pt>
                <c:pt idx="19">
                  <c:v>915.2</c:v>
                </c:pt>
                <c:pt idx="20">
                  <c:v>915.2</c:v>
                </c:pt>
                <c:pt idx="21">
                  <c:v>915.2</c:v>
                </c:pt>
                <c:pt idx="22">
                  <c:v>915.2</c:v>
                </c:pt>
                <c:pt idx="23">
                  <c:v>915.2</c:v>
                </c:pt>
                <c:pt idx="24">
                  <c:v>915.2</c:v>
                </c:pt>
                <c:pt idx="25">
                  <c:v>915.2</c:v>
                </c:pt>
                <c:pt idx="26">
                  <c:v>915.2</c:v>
                </c:pt>
                <c:pt idx="27">
                  <c:v>915.2</c:v>
                </c:pt>
                <c:pt idx="28">
                  <c:v>915.2</c:v>
                </c:pt>
                <c:pt idx="29">
                  <c:v>915.2</c:v>
                </c:pt>
                <c:pt idx="30">
                  <c:v>915.2</c:v>
                </c:pt>
                <c:pt idx="31">
                  <c:v>915.2</c:v>
                </c:pt>
                <c:pt idx="32">
                  <c:v>915.2</c:v>
                </c:pt>
                <c:pt idx="33">
                  <c:v>915.2</c:v>
                </c:pt>
                <c:pt idx="34">
                  <c:v>915.2</c:v>
                </c:pt>
                <c:pt idx="35">
                  <c:v>915.2</c:v>
                </c:pt>
                <c:pt idx="36">
                  <c:v>915.2</c:v>
                </c:pt>
                <c:pt idx="37">
                  <c:v>915.2</c:v>
                </c:pt>
                <c:pt idx="38">
                  <c:v>915.2</c:v>
                </c:pt>
                <c:pt idx="39">
                  <c:v>915.2</c:v>
                </c:pt>
                <c:pt idx="40">
                  <c:v>915.2</c:v>
                </c:pt>
                <c:pt idx="41">
                  <c:v>915.2</c:v>
                </c:pt>
                <c:pt idx="42">
                  <c:v>915.2</c:v>
                </c:pt>
                <c:pt idx="43">
                  <c:v>915.2</c:v>
                </c:pt>
                <c:pt idx="44">
                  <c:v>915.2</c:v>
                </c:pt>
                <c:pt idx="45">
                  <c:v>915.2</c:v>
                </c:pt>
                <c:pt idx="46">
                  <c:v>915.2</c:v>
                </c:pt>
                <c:pt idx="47">
                  <c:v>915.2</c:v>
                </c:pt>
                <c:pt idx="48">
                  <c:v>915.2</c:v>
                </c:pt>
                <c:pt idx="49">
                  <c:v>915.2</c:v>
                </c:pt>
                <c:pt idx="50">
                  <c:v>915.2</c:v>
                </c:pt>
                <c:pt idx="51">
                  <c:v>915.2</c:v>
                </c:pt>
                <c:pt idx="52">
                  <c:v>915.2</c:v>
                </c:pt>
                <c:pt idx="53">
                  <c:v>915.2</c:v>
                </c:pt>
                <c:pt idx="54">
                  <c:v>915.2</c:v>
                </c:pt>
                <c:pt idx="55">
                  <c:v>915.2</c:v>
                </c:pt>
                <c:pt idx="56">
                  <c:v>915.2</c:v>
                </c:pt>
                <c:pt idx="57">
                  <c:v>915.2</c:v>
                </c:pt>
                <c:pt idx="58">
                  <c:v>915.2</c:v>
                </c:pt>
                <c:pt idx="59">
                  <c:v>915.2</c:v>
                </c:pt>
                <c:pt idx="60">
                  <c:v>915.2</c:v>
                </c:pt>
                <c:pt idx="61">
                  <c:v>915.2</c:v>
                </c:pt>
              </c:numCache>
            </c:numRef>
          </c:val>
          <c:smooth val="0"/>
        </c:ser>
        <c:ser>
          <c:idx val="2"/>
          <c:order val="2"/>
          <c:tx>
            <c:v>lse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[0]!G20_XValues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[0]!G20_Lse</c:f>
              <c:numCache>
                <c:formatCode>General</c:formatCode>
                <c:ptCount val="62"/>
                <c:pt idx="0">
                  <c:v>923.2</c:v>
                </c:pt>
                <c:pt idx="1">
                  <c:v>923.2</c:v>
                </c:pt>
                <c:pt idx="2">
                  <c:v>923.2</c:v>
                </c:pt>
                <c:pt idx="3">
                  <c:v>923.2</c:v>
                </c:pt>
                <c:pt idx="4">
                  <c:v>923.2</c:v>
                </c:pt>
                <c:pt idx="5">
                  <c:v>923.2</c:v>
                </c:pt>
                <c:pt idx="6">
                  <c:v>923.2</c:v>
                </c:pt>
                <c:pt idx="7">
                  <c:v>923.2</c:v>
                </c:pt>
                <c:pt idx="8">
                  <c:v>923.2</c:v>
                </c:pt>
                <c:pt idx="9">
                  <c:v>923.2</c:v>
                </c:pt>
                <c:pt idx="10">
                  <c:v>923.2</c:v>
                </c:pt>
                <c:pt idx="11">
                  <c:v>923.2</c:v>
                </c:pt>
                <c:pt idx="12">
                  <c:v>923.2</c:v>
                </c:pt>
                <c:pt idx="13">
                  <c:v>923.2</c:v>
                </c:pt>
                <c:pt idx="14">
                  <c:v>923.2</c:v>
                </c:pt>
                <c:pt idx="15">
                  <c:v>923.2</c:v>
                </c:pt>
                <c:pt idx="16">
                  <c:v>923.2</c:v>
                </c:pt>
                <c:pt idx="17">
                  <c:v>923.2</c:v>
                </c:pt>
                <c:pt idx="18">
                  <c:v>923.2</c:v>
                </c:pt>
                <c:pt idx="19">
                  <c:v>923.2</c:v>
                </c:pt>
                <c:pt idx="20">
                  <c:v>923.2</c:v>
                </c:pt>
                <c:pt idx="21">
                  <c:v>923.2</c:v>
                </c:pt>
                <c:pt idx="22">
                  <c:v>923.2</c:v>
                </c:pt>
                <c:pt idx="23">
                  <c:v>923.2</c:v>
                </c:pt>
                <c:pt idx="24">
                  <c:v>923.2</c:v>
                </c:pt>
                <c:pt idx="25">
                  <c:v>923.2</c:v>
                </c:pt>
                <c:pt idx="26">
                  <c:v>923.2</c:v>
                </c:pt>
                <c:pt idx="27">
                  <c:v>923.2</c:v>
                </c:pt>
                <c:pt idx="28">
                  <c:v>923.2</c:v>
                </c:pt>
                <c:pt idx="29">
                  <c:v>923.2</c:v>
                </c:pt>
                <c:pt idx="30">
                  <c:v>923.2</c:v>
                </c:pt>
                <c:pt idx="31">
                  <c:v>923.2</c:v>
                </c:pt>
                <c:pt idx="32">
                  <c:v>923.2</c:v>
                </c:pt>
                <c:pt idx="33">
                  <c:v>923.2</c:v>
                </c:pt>
                <c:pt idx="34">
                  <c:v>923.2</c:v>
                </c:pt>
                <c:pt idx="35">
                  <c:v>923.2</c:v>
                </c:pt>
                <c:pt idx="36">
                  <c:v>923.2</c:v>
                </c:pt>
                <c:pt idx="37">
                  <c:v>923.2</c:v>
                </c:pt>
                <c:pt idx="38">
                  <c:v>923.2</c:v>
                </c:pt>
                <c:pt idx="39">
                  <c:v>923.2</c:v>
                </c:pt>
                <c:pt idx="40">
                  <c:v>923.2</c:v>
                </c:pt>
                <c:pt idx="41">
                  <c:v>923.2</c:v>
                </c:pt>
                <c:pt idx="42">
                  <c:v>923.2</c:v>
                </c:pt>
                <c:pt idx="43">
                  <c:v>923.2</c:v>
                </c:pt>
                <c:pt idx="44">
                  <c:v>923.2</c:v>
                </c:pt>
                <c:pt idx="45">
                  <c:v>923.2</c:v>
                </c:pt>
                <c:pt idx="46">
                  <c:v>923.2</c:v>
                </c:pt>
                <c:pt idx="47">
                  <c:v>923.2</c:v>
                </c:pt>
                <c:pt idx="48">
                  <c:v>923.2</c:v>
                </c:pt>
                <c:pt idx="49">
                  <c:v>923.2</c:v>
                </c:pt>
                <c:pt idx="50">
                  <c:v>923.2</c:v>
                </c:pt>
                <c:pt idx="51">
                  <c:v>923.2</c:v>
                </c:pt>
                <c:pt idx="52">
                  <c:v>923.2</c:v>
                </c:pt>
                <c:pt idx="53">
                  <c:v>923.2</c:v>
                </c:pt>
                <c:pt idx="54">
                  <c:v>923.2</c:v>
                </c:pt>
                <c:pt idx="55">
                  <c:v>923.2</c:v>
                </c:pt>
                <c:pt idx="56">
                  <c:v>923.2</c:v>
                </c:pt>
                <c:pt idx="57">
                  <c:v>923.2</c:v>
                </c:pt>
                <c:pt idx="58">
                  <c:v>923.2</c:v>
                </c:pt>
                <c:pt idx="59">
                  <c:v>923.2</c:v>
                </c:pt>
                <c:pt idx="60">
                  <c:v>923.2</c:v>
                </c:pt>
                <c:pt idx="61">
                  <c:v>923.2</c:v>
                </c:pt>
              </c:numCache>
            </c:numRef>
          </c:val>
          <c:smooth val="0"/>
        </c:ser>
        <c:ser>
          <c:idx val="3"/>
          <c:order val="3"/>
          <c:tx>
            <c:v>data</c:v>
          </c:tx>
          <c:spPr>
            <a:ln>
              <a:solidFill>
                <a:schemeClr val="accent1"/>
              </a:solidFill>
            </a:ln>
          </c:spPr>
          <c:marker>
            <c:symbol val="circle"/>
            <c:size val="4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cat>
            <c:multiLvlStrRef>
              <c:f>[0]!G20_XValues</c:f>
              <c:multiLvlStrCache>
                <c:ptCount val="62"/>
                <c:lvl>
                  <c:pt idx="0">
                    <c:v>816948</c:v>
                  </c:pt>
                  <c:pt idx="1">
                    <c:v>816987</c:v>
                  </c:pt>
                  <c:pt idx="2">
                    <c:v>816998</c:v>
                  </c:pt>
                  <c:pt idx="3">
                    <c:v>817092</c:v>
                  </c:pt>
                  <c:pt idx="4">
                    <c:v>817353</c:v>
                  </c:pt>
                  <c:pt idx="5">
                    <c:v>817441</c:v>
                  </c:pt>
                  <c:pt idx="6">
                    <c:v>817773</c:v>
                  </c:pt>
                  <c:pt idx="7">
                    <c:v>817861</c:v>
                  </c:pt>
                  <c:pt idx="8">
                    <c:v>817943</c:v>
                  </c:pt>
                  <c:pt idx="9">
                    <c:v>817985</c:v>
                  </c:pt>
                  <c:pt idx="10">
                    <c:v>818214</c:v>
                  </c:pt>
                  <c:pt idx="11">
                    <c:v>818254</c:v>
                  </c:pt>
                  <c:pt idx="12">
                    <c:v>818291</c:v>
                  </c:pt>
                  <c:pt idx="13">
                    <c:v>818439</c:v>
                  </c:pt>
                  <c:pt idx="14">
                    <c:v>818580</c:v>
                  </c:pt>
                  <c:pt idx="15">
                    <c:v>818627</c:v>
                  </c:pt>
                  <c:pt idx="16">
                    <c:v>818667</c:v>
                  </c:pt>
                  <c:pt idx="17">
                    <c:v>818839</c:v>
                  </c:pt>
                  <c:pt idx="18">
                    <c:v>818934</c:v>
                  </c:pt>
                  <c:pt idx="19">
                    <c:v>819019</c:v>
                  </c:pt>
                  <c:pt idx="20">
                    <c:v>819103</c:v>
                  </c:pt>
                  <c:pt idx="21">
                    <c:v>819271</c:v>
                  </c:pt>
                  <c:pt idx="22">
                    <c:v>819315</c:v>
                  </c:pt>
                  <c:pt idx="23">
                    <c:v>819370</c:v>
                  </c:pt>
                  <c:pt idx="24">
                    <c:v>819445</c:v>
                  </c:pt>
                  <c:pt idx="25">
                    <c:v>819491</c:v>
                  </c:pt>
                  <c:pt idx="26">
                    <c:v>819533</c:v>
                  </c:pt>
                  <c:pt idx="27">
                    <c:v>819706</c:v>
                  </c:pt>
                  <c:pt idx="28">
                    <c:v>819995</c:v>
                  </c:pt>
                  <c:pt idx="29">
                    <c:v>820041</c:v>
                  </c:pt>
                  <c:pt idx="30">
                    <c:v>820088</c:v>
                  </c:pt>
                  <c:pt idx="31">
                    <c:v>820271</c:v>
                  </c:pt>
                  <c:pt idx="32">
                    <c:v>820495</c:v>
                  </c:pt>
                  <c:pt idx="33">
                    <c:v>820568</c:v>
                  </c:pt>
                  <c:pt idx="34">
                    <c:v>820630</c:v>
                  </c:pt>
                  <c:pt idx="35">
                    <c:v>820670</c:v>
                  </c:pt>
                  <c:pt idx="36">
                    <c:v>820873</c:v>
                  </c:pt>
                  <c:pt idx="37">
                    <c:v>820921</c:v>
                  </c:pt>
                  <c:pt idx="38">
                    <c:v>820957</c:v>
                  </c:pt>
                  <c:pt idx="39">
                    <c:v>821024</c:v>
                  </c:pt>
                  <c:pt idx="40">
                    <c:v>821060</c:v>
                  </c:pt>
                  <c:pt idx="41">
                    <c:v>821288</c:v>
                  </c:pt>
                  <c:pt idx="42">
                    <c:v>821319</c:v>
                  </c:pt>
                  <c:pt idx="43">
                    <c:v>821356</c:v>
                  </c:pt>
                  <c:pt idx="44">
                    <c:v>821451</c:v>
                  </c:pt>
                  <c:pt idx="45">
                    <c:v>821500</c:v>
                  </c:pt>
                  <c:pt idx="46">
                    <c:v>821710</c:v>
                  </c:pt>
                  <c:pt idx="47">
                    <c:v>821754</c:v>
                  </c:pt>
                  <c:pt idx="48">
                    <c:v>821805</c:v>
                  </c:pt>
                  <c:pt idx="49">
                    <c:v>821885</c:v>
                  </c:pt>
                  <c:pt idx="50">
                    <c:v>821931</c:v>
                  </c:pt>
                  <c:pt idx="51">
                    <c:v>822143</c:v>
                  </c:pt>
                  <c:pt idx="52">
                    <c:v>822185</c:v>
                  </c:pt>
                  <c:pt idx="53">
                    <c:v>822236</c:v>
                  </c:pt>
                  <c:pt idx="54">
                    <c:v>822306</c:v>
                  </c:pt>
                  <c:pt idx="55">
                    <c:v>822352</c:v>
                  </c:pt>
                  <c:pt idx="56">
                    <c:v>822558</c:v>
                  </c:pt>
                  <c:pt idx="57">
                    <c:v>822647</c:v>
                  </c:pt>
                  <c:pt idx="58">
                    <c:v>822737</c:v>
                  </c:pt>
                  <c:pt idx="59">
                    <c:v>822777</c:v>
                  </c:pt>
                  <c:pt idx="60">
                    <c:v>823003</c:v>
                  </c:pt>
                  <c:pt idx="61">
                    <c:v>823082</c:v>
                  </c:pt>
                </c:lvl>
                <c:lvl>
                  <c:pt idx="0">
                    <c:v>27/05/2026</c:v>
                  </c:pt>
                  <c:pt idx="1">
                    <c:v>27/05/2026</c:v>
                  </c:pt>
                  <c:pt idx="2">
                    <c:v>27/05/2026</c:v>
                  </c:pt>
                  <c:pt idx="3">
                    <c:v>27/05/2026</c:v>
                  </c:pt>
                  <c:pt idx="4">
                    <c:v>28/05/2026</c:v>
                  </c:pt>
                  <c:pt idx="5">
                    <c:v>28/05/2026</c:v>
                  </c:pt>
                  <c:pt idx="6">
                    <c:v>29/05/2026</c:v>
                  </c:pt>
                  <c:pt idx="7">
                    <c:v>29/05/2026</c:v>
                  </c:pt>
                  <c:pt idx="8">
                    <c:v>29/05/2026</c:v>
                  </c:pt>
                  <c:pt idx="9">
                    <c:v>29/05/2026</c:v>
                  </c:pt>
                  <c:pt idx="10">
                    <c:v>30/05/2026</c:v>
                  </c:pt>
                  <c:pt idx="11">
                    <c:v>30/05/2026</c:v>
                  </c:pt>
                  <c:pt idx="12">
                    <c:v>30/05/2026</c:v>
                  </c:pt>
                  <c:pt idx="13">
                    <c:v>01/06/2026</c:v>
                  </c:pt>
                  <c:pt idx="14">
                    <c:v>01/06/2026</c:v>
                  </c:pt>
                  <c:pt idx="15">
                    <c:v>01/06/2026</c:v>
                  </c:pt>
                  <c:pt idx="16">
                    <c:v>01/06/2026</c:v>
                  </c:pt>
                  <c:pt idx="17">
                    <c:v>02/06/2026</c:v>
                  </c:pt>
                  <c:pt idx="18">
                    <c:v>02/06/2026</c:v>
                  </c:pt>
                  <c:pt idx="19">
                    <c:v>02/06/2026</c:v>
                  </c:pt>
                  <c:pt idx="20">
                    <c:v>03/06/2026</c:v>
                  </c:pt>
                  <c:pt idx="21">
                    <c:v>03/06/2026</c:v>
                  </c:pt>
                  <c:pt idx="22">
                    <c:v>03/06/2026</c:v>
                  </c:pt>
                  <c:pt idx="23">
                    <c:v>03/06/2026</c:v>
                  </c:pt>
                  <c:pt idx="24">
                    <c:v>03/06/2026</c:v>
                  </c:pt>
                  <c:pt idx="25">
                    <c:v>03/06/2026</c:v>
                  </c:pt>
                  <c:pt idx="26">
                    <c:v>03/06/2026</c:v>
                  </c:pt>
                  <c:pt idx="27">
                    <c:v>04/06/2026</c:v>
                  </c:pt>
                  <c:pt idx="28">
                    <c:v>05/06/2026</c:v>
                  </c:pt>
                  <c:pt idx="29">
                    <c:v>05/06/2026</c:v>
                  </c:pt>
                  <c:pt idx="30">
                    <c:v>05/06/2026</c:v>
                  </c:pt>
                  <c:pt idx="31">
                    <c:v>06/06/2026</c:v>
                  </c:pt>
                  <c:pt idx="32">
                    <c:v>07/06/2026</c:v>
                  </c:pt>
                  <c:pt idx="33">
                    <c:v>07/06/2026</c:v>
                  </c:pt>
                  <c:pt idx="34">
                    <c:v>07/06/2026</c:v>
                  </c:pt>
                  <c:pt idx="35">
                    <c:v>07/06/2026</c:v>
                  </c:pt>
                  <c:pt idx="36">
                    <c:v>08/06/2026</c:v>
                  </c:pt>
                  <c:pt idx="37">
                    <c:v>08/06/2026</c:v>
                  </c:pt>
                  <c:pt idx="38">
                    <c:v>08/06/2026</c:v>
                  </c:pt>
                  <c:pt idx="39">
                    <c:v>08/06/2026</c:v>
                  </c:pt>
                  <c:pt idx="40">
                    <c:v>08/06/2026</c:v>
                  </c:pt>
                  <c:pt idx="41">
                    <c:v>09/06/2026</c:v>
                  </c:pt>
                  <c:pt idx="42">
                    <c:v>09/06/2026</c:v>
                  </c:pt>
                  <c:pt idx="43">
                    <c:v>09/06/2026</c:v>
                  </c:pt>
                  <c:pt idx="44">
                    <c:v>09/06/2026</c:v>
                  </c:pt>
                  <c:pt idx="45">
                    <c:v>09/06/2026</c:v>
                  </c:pt>
                  <c:pt idx="46">
                    <c:v>10/06/2026</c:v>
                  </c:pt>
                  <c:pt idx="47">
                    <c:v>10/06/2026</c:v>
                  </c:pt>
                  <c:pt idx="48">
                    <c:v>10/06/2026</c:v>
                  </c:pt>
                  <c:pt idx="49">
                    <c:v>10/06/2026</c:v>
                  </c:pt>
                  <c:pt idx="50">
                    <c:v>10/06/2026</c:v>
                  </c:pt>
                  <c:pt idx="51">
                    <c:v>11/06/2026</c:v>
                  </c:pt>
                  <c:pt idx="52">
                    <c:v>11/06/2026</c:v>
                  </c:pt>
                  <c:pt idx="53">
                    <c:v>11/06/2026</c:v>
                  </c:pt>
                  <c:pt idx="54">
                    <c:v>11/06/2026</c:v>
                  </c:pt>
                  <c:pt idx="55">
                    <c:v>11/06/2026</c:v>
                  </c:pt>
                  <c:pt idx="56">
                    <c:v>12/06/2026</c:v>
                  </c:pt>
                  <c:pt idx="57">
                    <c:v>12/06/2026</c:v>
                  </c:pt>
                  <c:pt idx="58">
                    <c:v>12/06/2026</c:v>
                  </c:pt>
                  <c:pt idx="59">
                    <c:v>12/06/2026</c:v>
                  </c:pt>
                  <c:pt idx="60">
                    <c:v>13/06/2026</c:v>
                  </c:pt>
                  <c:pt idx="61">
                    <c:v>13/06/2026</c:v>
                  </c:pt>
                </c:lvl>
              </c:multiLvlStrCache>
            </c:multiLvlStrRef>
          </c:cat>
          <c:val>
            <c:numRef>
              <c:f>[0]!G20_Data</c:f>
              <c:numCache>
                <c:formatCode>General</c:formatCode>
                <c:ptCount val="62"/>
                <c:pt idx="0">
                  <c:v>920.19</c:v>
                </c:pt>
                <c:pt idx="1">
                  <c:v>919.36</c:v>
                </c:pt>
                <c:pt idx="2">
                  <c:v>920.29</c:v>
                </c:pt>
                <c:pt idx="3">
                  <c:v>919.3</c:v>
                </c:pt>
                <c:pt idx="4">
                  <c:v>920.5</c:v>
                </c:pt>
                <c:pt idx="5">
                  <c:v>919.8</c:v>
                </c:pt>
                <c:pt idx="6">
                  <c:v>920.6</c:v>
                </c:pt>
                <c:pt idx="7">
                  <c:v>919.7</c:v>
                </c:pt>
                <c:pt idx="8">
                  <c:v>920.7</c:v>
                </c:pt>
                <c:pt idx="9">
                  <c:v>920.91</c:v>
                </c:pt>
                <c:pt idx="10">
                  <c:v>919.45</c:v>
                </c:pt>
                <c:pt idx="11">
                  <c:v>919.23</c:v>
                </c:pt>
                <c:pt idx="12">
                  <c:v>919.29</c:v>
                </c:pt>
                <c:pt idx="13">
                  <c:v>920.55</c:v>
                </c:pt>
                <c:pt idx="14">
                  <c:v>919.52</c:v>
                </c:pt>
                <c:pt idx="15">
                  <c:v>920.16</c:v>
                </c:pt>
                <c:pt idx="16">
                  <c:v>919.22</c:v>
                </c:pt>
                <c:pt idx="17">
                  <c:v>919.57</c:v>
                </c:pt>
                <c:pt idx="18">
                  <c:v>920.7</c:v>
                </c:pt>
                <c:pt idx="19">
                  <c:v>919.2</c:v>
                </c:pt>
                <c:pt idx="20">
                  <c:v>920.4</c:v>
                </c:pt>
                <c:pt idx="21">
                  <c:v>919.87</c:v>
                </c:pt>
                <c:pt idx="22">
                  <c:v>920.6</c:v>
                </c:pt>
                <c:pt idx="23">
                  <c:v>920.8</c:v>
                </c:pt>
                <c:pt idx="24">
                  <c:v>920.6</c:v>
                </c:pt>
                <c:pt idx="25">
                  <c:v>919.77</c:v>
                </c:pt>
                <c:pt idx="26">
                  <c:v>920.74</c:v>
                </c:pt>
                <c:pt idx="27">
                  <c:v>920.72</c:v>
                </c:pt>
                <c:pt idx="28">
                  <c:v>921.13</c:v>
                </c:pt>
                <c:pt idx="29">
                  <c:v>921.23</c:v>
                </c:pt>
                <c:pt idx="30">
                  <c:v>920.37</c:v>
                </c:pt>
                <c:pt idx="31">
                  <c:v>919.93</c:v>
                </c:pt>
                <c:pt idx="32">
                  <c:v>920.77</c:v>
                </c:pt>
                <c:pt idx="33">
                  <c:v>920.31</c:v>
                </c:pt>
                <c:pt idx="34">
                  <c:v>920.2</c:v>
                </c:pt>
                <c:pt idx="35">
                  <c:v>921.11</c:v>
                </c:pt>
                <c:pt idx="36">
                  <c:v>920.98</c:v>
                </c:pt>
                <c:pt idx="37">
                  <c:v>920.16</c:v>
                </c:pt>
                <c:pt idx="38">
                  <c:v>920.31</c:v>
                </c:pt>
                <c:pt idx="39">
                  <c:v>920.67</c:v>
                </c:pt>
                <c:pt idx="40">
                  <c:v>920.62</c:v>
                </c:pt>
                <c:pt idx="41">
                  <c:v>922.21</c:v>
                </c:pt>
                <c:pt idx="42">
                  <c:v>921.34</c:v>
                </c:pt>
                <c:pt idx="43">
                  <c:v>921.7</c:v>
                </c:pt>
                <c:pt idx="44">
                  <c:v>920.53</c:v>
                </c:pt>
                <c:pt idx="45">
                  <c:v>920.55</c:v>
                </c:pt>
                <c:pt idx="46">
                  <c:v>920.65</c:v>
                </c:pt>
                <c:pt idx="47">
                  <c:v>920.2</c:v>
                </c:pt>
                <c:pt idx="48">
                  <c:v>920.6</c:v>
                </c:pt>
                <c:pt idx="49">
                  <c:v>921.02</c:v>
                </c:pt>
                <c:pt idx="50">
                  <c:v>920.82</c:v>
                </c:pt>
                <c:pt idx="51">
                  <c:v>921.14</c:v>
                </c:pt>
                <c:pt idx="52">
                  <c:v>921.29</c:v>
                </c:pt>
                <c:pt idx="53">
                  <c:v>920.53</c:v>
                </c:pt>
                <c:pt idx="54">
                  <c:v>920.21</c:v>
                </c:pt>
                <c:pt idx="55">
                  <c:v>921.09</c:v>
                </c:pt>
                <c:pt idx="56">
                  <c:v>920.03</c:v>
                </c:pt>
                <c:pt idx="57">
                  <c:v>921.01</c:v>
                </c:pt>
                <c:pt idx="58">
                  <c:v>921.25</c:v>
                </c:pt>
                <c:pt idx="59">
                  <c:v>922.55</c:v>
                </c:pt>
                <c:pt idx="60">
                  <c:v>921.14</c:v>
                </c:pt>
                <c:pt idx="61">
                  <c:v>919.85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803904"/>
        <c:axId val="81818368"/>
      </c:lineChart>
      <c:catAx>
        <c:axId val="81803904"/>
        <c:scaling>
          <c:orientation val="minMax"/>
        </c:scaling>
        <c:delete val="1"/>
        <c:axPos val="b"/>
        <c:majorTickMark val="out"/>
        <c:minorTickMark val="none"/>
        <c:tickLblPos val="nextTo"/>
        <c:crossAx val="81818368"/>
        <c:crosses val="autoZero"/>
        <c:auto val="0"/>
        <c:lblAlgn val="ctr"/>
        <c:lblOffset val="100"/>
        <c:noMultiLvlLbl val="1"/>
      </c:catAx>
      <c:valAx>
        <c:axId val="818183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1803904"/>
        <c:crosses val="autoZero"/>
        <c:crossBetween val="midCat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13" Type="http://schemas.openxmlformats.org/officeDocument/2006/relationships/chart" Target="../charts/chart9.xml"/><Relationship Id="rId18" Type="http://schemas.openxmlformats.org/officeDocument/2006/relationships/chart" Target="../charts/chart12.xml"/><Relationship Id="rId26" Type="http://schemas.openxmlformats.org/officeDocument/2006/relationships/chart" Target="../charts/chart18.xml"/><Relationship Id="rId3" Type="http://schemas.openxmlformats.org/officeDocument/2006/relationships/image" Target="../media/image2.jpg"/><Relationship Id="rId21" Type="http://schemas.openxmlformats.org/officeDocument/2006/relationships/image" Target="../media/image7.jpg"/><Relationship Id="rId7" Type="http://schemas.openxmlformats.org/officeDocument/2006/relationships/image" Target="../media/image3.jpg"/><Relationship Id="rId12" Type="http://schemas.openxmlformats.org/officeDocument/2006/relationships/chart" Target="../charts/chart8.xml"/><Relationship Id="rId17" Type="http://schemas.openxmlformats.org/officeDocument/2006/relationships/image" Target="../media/image6.jpg"/><Relationship Id="rId25" Type="http://schemas.openxmlformats.org/officeDocument/2006/relationships/image" Target="../media/image8.jpg"/><Relationship Id="rId2" Type="http://schemas.openxmlformats.org/officeDocument/2006/relationships/chart" Target="../charts/chart1.xml"/><Relationship Id="rId16" Type="http://schemas.openxmlformats.org/officeDocument/2006/relationships/chart" Target="../charts/chart11.xml"/><Relationship Id="rId20" Type="http://schemas.openxmlformats.org/officeDocument/2006/relationships/chart" Target="../charts/chart14.xml"/><Relationship Id="rId29" Type="http://schemas.openxmlformats.org/officeDocument/2006/relationships/image" Target="../media/image9.jpg"/><Relationship Id="rId1" Type="http://schemas.openxmlformats.org/officeDocument/2006/relationships/image" Target="../media/image1.jpg"/><Relationship Id="rId6" Type="http://schemas.openxmlformats.org/officeDocument/2006/relationships/chart" Target="../charts/chart4.xml"/><Relationship Id="rId11" Type="http://schemas.openxmlformats.org/officeDocument/2006/relationships/image" Target="../media/image4.jpg"/><Relationship Id="rId24" Type="http://schemas.openxmlformats.org/officeDocument/2006/relationships/chart" Target="../charts/chart17.xml"/><Relationship Id="rId5" Type="http://schemas.openxmlformats.org/officeDocument/2006/relationships/chart" Target="../charts/chart3.xml"/><Relationship Id="rId15" Type="http://schemas.openxmlformats.org/officeDocument/2006/relationships/image" Target="../media/image5.jpg"/><Relationship Id="rId23" Type="http://schemas.openxmlformats.org/officeDocument/2006/relationships/chart" Target="../charts/chart16.xml"/><Relationship Id="rId28" Type="http://schemas.openxmlformats.org/officeDocument/2006/relationships/chart" Target="../charts/chart20.xml"/><Relationship Id="rId10" Type="http://schemas.openxmlformats.org/officeDocument/2006/relationships/chart" Target="../charts/chart7.xml"/><Relationship Id="rId19" Type="http://schemas.openxmlformats.org/officeDocument/2006/relationships/chart" Target="../charts/chart13.xml"/><Relationship Id="rId4" Type="http://schemas.openxmlformats.org/officeDocument/2006/relationships/chart" Target="../charts/chart2.xml"/><Relationship Id="rId9" Type="http://schemas.openxmlformats.org/officeDocument/2006/relationships/chart" Target="../charts/chart6.xml"/><Relationship Id="rId14" Type="http://schemas.openxmlformats.org/officeDocument/2006/relationships/chart" Target="../charts/chart10.xml"/><Relationship Id="rId22" Type="http://schemas.openxmlformats.org/officeDocument/2006/relationships/chart" Target="../charts/chart15.xml"/><Relationship Id="rId27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579351</xdr:colOff>
      <xdr:row>3</xdr:row>
      <xdr:rowOff>25400</xdr:rowOff>
    </xdr:from>
    <xdr:to>
      <xdr:col>7</xdr:col>
      <xdr:colOff>2011448</xdr:colOff>
      <xdr:row>3</xdr:row>
      <xdr:rowOff>3784600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3626" y="1073150"/>
          <a:ext cx="4937297" cy="3759200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4</xdr:row>
      <xdr:rowOff>38100</xdr:rowOff>
    </xdr:from>
    <xdr:to>
      <xdr:col>7</xdr:col>
      <xdr:colOff>6276975</xdr:colOff>
      <xdr:row>8</xdr:row>
      <xdr:rowOff>428625</xdr:rowOff>
    </xdr:to>
    <xdr:graphicFrame macro="">
      <xdr:nvGraphicFramePr>
        <xdr:cNvPr id="4" name="G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250561</xdr:colOff>
      <xdr:row>5</xdr:row>
      <xdr:rowOff>25400</xdr:rowOff>
    </xdr:from>
    <xdr:to>
      <xdr:col>6</xdr:col>
      <xdr:colOff>2445015</xdr:colOff>
      <xdr:row>8</xdr:row>
      <xdr:rowOff>441325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4461" y="7683500"/>
          <a:ext cx="2194454" cy="1816100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9</xdr:row>
      <xdr:rowOff>38100</xdr:rowOff>
    </xdr:from>
    <xdr:to>
      <xdr:col>7</xdr:col>
      <xdr:colOff>6276975</xdr:colOff>
      <xdr:row>13</xdr:row>
      <xdr:rowOff>428625</xdr:rowOff>
    </xdr:to>
    <xdr:graphicFrame macro="">
      <xdr:nvGraphicFramePr>
        <xdr:cNvPr id="6" name="G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250561</xdr:colOff>
      <xdr:row>10</xdr:row>
      <xdr:rowOff>25400</xdr:rowOff>
    </xdr:from>
    <xdr:to>
      <xdr:col>6</xdr:col>
      <xdr:colOff>2445015</xdr:colOff>
      <xdr:row>13</xdr:row>
      <xdr:rowOff>441325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4461" y="10017125"/>
          <a:ext cx="2194454" cy="1816100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14</xdr:row>
      <xdr:rowOff>38100</xdr:rowOff>
    </xdr:from>
    <xdr:to>
      <xdr:col>7</xdr:col>
      <xdr:colOff>6276975</xdr:colOff>
      <xdr:row>18</xdr:row>
      <xdr:rowOff>428625</xdr:rowOff>
    </xdr:to>
    <xdr:graphicFrame macro="">
      <xdr:nvGraphicFramePr>
        <xdr:cNvPr id="8" name="G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250561</xdr:colOff>
      <xdr:row>15</xdr:row>
      <xdr:rowOff>25400</xdr:rowOff>
    </xdr:from>
    <xdr:to>
      <xdr:col>6</xdr:col>
      <xdr:colOff>2445015</xdr:colOff>
      <xdr:row>18</xdr:row>
      <xdr:rowOff>441325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4461" y="12350750"/>
          <a:ext cx="2194454" cy="1816100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19</xdr:row>
      <xdr:rowOff>38100</xdr:rowOff>
    </xdr:from>
    <xdr:to>
      <xdr:col>7</xdr:col>
      <xdr:colOff>6276975</xdr:colOff>
      <xdr:row>23</xdr:row>
      <xdr:rowOff>428625</xdr:rowOff>
    </xdr:to>
    <xdr:graphicFrame macro="">
      <xdr:nvGraphicFramePr>
        <xdr:cNvPr id="10" name="G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453496</xdr:colOff>
      <xdr:row>20</xdr:row>
      <xdr:rowOff>25400</xdr:rowOff>
    </xdr:from>
    <xdr:to>
      <xdr:col>6</xdr:col>
      <xdr:colOff>2242079</xdr:colOff>
      <xdr:row>23</xdr:row>
      <xdr:rowOff>441325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396" y="14684375"/>
          <a:ext cx="1788583" cy="1816100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24</xdr:row>
      <xdr:rowOff>38100</xdr:rowOff>
    </xdr:from>
    <xdr:to>
      <xdr:col>7</xdr:col>
      <xdr:colOff>6276975</xdr:colOff>
      <xdr:row>28</xdr:row>
      <xdr:rowOff>428625</xdr:rowOff>
    </xdr:to>
    <xdr:graphicFrame macro="">
      <xdr:nvGraphicFramePr>
        <xdr:cNvPr id="12" name="G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453496</xdr:colOff>
      <xdr:row>25</xdr:row>
      <xdr:rowOff>25400</xdr:rowOff>
    </xdr:from>
    <xdr:to>
      <xdr:col>6</xdr:col>
      <xdr:colOff>2242079</xdr:colOff>
      <xdr:row>28</xdr:row>
      <xdr:rowOff>441325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396" y="17018000"/>
          <a:ext cx="1788583" cy="1816100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29</xdr:row>
      <xdr:rowOff>38100</xdr:rowOff>
    </xdr:from>
    <xdr:to>
      <xdr:col>7</xdr:col>
      <xdr:colOff>6276975</xdr:colOff>
      <xdr:row>33</xdr:row>
      <xdr:rowOff>428625</xdr:rowOff>
    </xdr:to>
    <xdr:graphicFrame macro="">
      <xdr:nvGraphicFramePr>
        <xdr:cNvPr id="14" name="G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453496</xdr:colOff>
      <xdr:row>30</xdr:row>
      <xdr:rowOff>25400</xdr:rowOff>
    </xdr:from>
    <xdr:to>
      <xdr:col>6</xdr:col>
      <xdr:colOff>2242079</xdr:colOff>
      <xdr:row>33</xdr:row>
      <xdr:rowOff>441325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396" y="19351625"/>
          <a:ext cx="1788583" cy="1816100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34</xdr:row>
      <xdr:rowOff>38100</xdr:rowOff>
    </xdr:from>
    <xdr:to>
      <xdr:col>7</xdr:col>
      <xdr:colOff>6276975</xdr:colOff>
      <xdr:row>38</xdr:row>
      <xdr:rowOff>428625</xdr:rowOff>
    </xdr:to>
    <xdr:graphicFrame macro="">
      <xdr:nvGraphicFramePr>
        <xdr:cNvPr id="16" name="G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453496</xdr:colOff>
      <xdr:row>35</xdr:row>
      <xdr:rowOff>25400</xdr:rowOff>
    </xdr:from>
    <xdr:to>
      <xdr:col>6</xdr:col>
      <xdr:colOff>2242079</xdr:colOff>
      <xdr:row>38</xdr:row>
      <xdr:rowOff>441325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396" y="21685250"/>
          <a:ext cx="1788583" cy="1816100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39</xdr:row>
      <xdr:rowOff>38100</xdr:rowOff>
    </xdr:from>
    <xdr:to>
      <xdr:col>7</xdr:col>
      <xdr:colOff>6276975</xdr:colOff>
      <xdr:row>43</xdr:row>
      <xdr:rowOff>428625</xdr:rowOff>
    </xdr:to>
    <xdr:graphicFrame macro="">
      <xdr:nvGraphicFramePr>
        <xdr:cNvPr id="18" name="G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</xdr:col>
      <xdr:colOff>453496</xdr:colOff>
      <xdr:row>40</xdr:row>
      <xdr:rowOff>25400</xdr:rowOff>
    </xdr:from>
    <xdr:to>
      <xdr:col>6</xdr:col>
      <xdr:colOff>2242079</xdr:colOff>
      <xdr:row>43</xdr:row>
      <xdr:rowOff>441325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396" y="24018875"/>
          <a:ext cx="1788583" cy="1816100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44</xdr:row>
      <xdr:rowOff>38100</xdr:rowOff>
    </xdr:from>
    <xdr:to>
      <xdr:col>7</xdr:col>
      <xdr:colOff>6276975</xdr:colOff>
      <xdr:row>48</xdr:row>
      <xdr:rowOff>428625</xdr:rowOff>
    </xdr:to>
    <xdr:graphicFrame macro="">
      <xdr:nvGraphicFramePr>
        <xdr:cNvPr id="20" name="G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</xdr:col>
      <xdr:colOff>453496</xdr:colOff>
      <xdr:row>45</xdr:row>
      <xdr:rowOff>25400</xdr:rowOff>
    </xdr:from>
    <xdr:to>
      <xdr:col>6</xdr:col>
      <xdr:colOff>2242079</xdr:colOff>
      <xdr:row>48</xdr:row>
      <xdr:rowOff>441325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396" y="26352500"/>
          <a:ext cx="1788583" cy="1816100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49</xdr:row>
      <xdr:rowOff>38100</xdr:rowOff>
    </xdr:from>
    <xdr:to>
      <xdr:col>7</xdr:col>
      <xdr:colOff>6276975</xdr:colOff>
      <xdr:row>53</xdr:row>
      <xdr:rowOff>428625</xdr:rowOff>
    </xdr:to>
    <xdr:graphicFrame macro="">
      <xdr:nvGraphicFramePr>
        <xdr:cNvPr id="22" name="G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</xdr:col>
      <xdr:colOff>319352</xdr:colOff>
      <xdr:row>50</xdr:row>
      <xdr:rowOff>25400</xdr:rowOff>
    </xdr:from>
    <xdr:to>
      <xdr:col>6</xdr:col>
      <xdr:colOff>2376223</xdr:colOff>
      <xdr:row>53</xdr:row>
      <xdr:rowOff>441325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3252" y="28686125"/>
          <a:ext cx="2056871" cy="1816100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54</xdr:row>
      <xdr:rowOff>38100</xdr:rowOff>
    </xdr:from>
    <xdr:to>
      <xdr:col>7</xdr:col>
      <xdr:colOff>6276975</xdr:colOff>
      <xdr:row>58</xdr:row>
      <xdr:rowOff>428625</xdr:rowOff>
    </xdr:to>
    <xdr:graphicFrame macro="">
      <xdr:nvGraphicFramePr>
        <xdr:cNvPr id="24" name="G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</xdr:col>
      <xdr:colOff>384704</xdr:colOff>
      <xdr:row>55</xdr:row>
      <xdr:rowOff>25400</xdr:rowOff>
    </xdr:from>
    <xdr:to>
      <xdr:col>6</xdr:col>
      <xdr:colOff>2310871</xdr:colOff>
      <xdr:row>58</xdr:row>
      <xdr:rowOff>441325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8604" y="31019750"/>
          <a:ext cx="1926167" cy="1816100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59</xdr:row>
      <xdr:rowOff>38100</xdr:rowOff>
    </xdr:from>
    <xdr:to>
      <xdr:col>7</xdr:col>
      <xdr:colOff>6276975</xdr:colOff>
      <xdr:row>63</xdr:row>
      <xdr:rowOff>428625</xdr:rowOff>
    </xdr:to>
    <xdr:graphicFrame macro="">
      <xdr:nvGraphicFramePr>
        <xdr:cNvPr id="26" name="G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6</xdr:col>
      <xdr:colOff>384704</xdr:colOff>
      <xdr:row>60</xdr:row>
      <xdr:rowOff>25400</xdr:rowOff>
    </xdr:from>
    <xdr:to>
      <xdr:col>6</xdr:col>
      <xdr:colOff>2310871</xdr:colOff>
      <xdr:row>63</xdr:row>
      <xdr:rowOff>441325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8604" y="33353375"/>
          <a:ext cx="1926167" cy="1816100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64</xdr:row>
      <xdr:rowOff>38100</xdr:rowOff>
    </xdr:from>
    <xdr:to>
      <xdr:col>7</xdr:col>
      <xdr:colOff>6276975</xdr:colOff>
      <xdr:row>68</xdr:row>
      <xdr:rowOff>428625</xdr:rowOff>
    </xdr:to>
    <xdr:graphicFrame macro="">
      <xdr:nvGraphicFramePr>
        <xdr:cNvPr id="28" name="G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6</xdr:col>
      <xdr:colOff>384704</xdr:colOff>
      <xdr:row>65</xdr:row>
      <xdr:rowOff>25400</xdr:rowOff>
    </xdr:from>
    <xdr:to>
      <xdr:col>6</xdr:col>
      <xdr:colOff>2310871</xdr:colOff>
      <xdr:row>68</xdr:row>
      <xdr:rowOff>441325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8604" y="35687000"/>
          <a:ext cx="1926167" cy="1816100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69</xdr:row>
      <xdr:rowOff>38100</xdr:rowOff>
    </xdr:from>
    <xdr:to>
      <xdr:col>7</xdr:col>
      <xdr:colOff>6276975</xdr:colOff>
      <xdr:row>73</xdr:row>
      <xdr:rowOff>428625</xdr:rowOff>
    </xdr:to>
    <xdr:graphicFrame macro="">
      <xdr:nvGraphicFramePr>
        <xdr:cNvPr id="30" name="G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6</xdr:col>
      <xdr:colOff>353748</xdr:colOff>
      <xdr:row>70</xdr:row>
      <xdr:rowOff>25400</xdr:rowOff>
    </xdr:from>
    <xdr:to>
      <xdr:col>6</xdr:col>
      <xdr:colOff>2341827</xdr:colOff>
      <xdr:row>73</xdr:row>
      <xdr:rowOff>441325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7648" y="38020625"/>
          <a:ext cx="1988079" cy="1816100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74</xdr:row>
      <xdr:rowOff>38100</xdr:rowOff>
    </xdr:from>
    <xdr:to>
      <xdr:col>7</xdr:col>
      <xdr:colOff>6276975</xdr:colOff>
      <xdr:row>78</xdr:row>
      <xdr:rowOff>428625</xdr:rowOff>
    </xdr:to>
    <xdr:graphicFrame macro="">
      <xdr:nvGraphicFramePr>
        <xdr:cNvPr id="32" name="G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6</xdr:col>
      <xdr:colOff>353748</xdr:colOff>
      <xdr:row>75</xdr:row>
      <xdr:rowOff>25400</xdr:rowOff>
    </xdr:from>
    <xdr:to>
      <xdr:col>6</xdr:col>
      <xdr:colOff>2341827</xdr:colOff>
      <xdr:row>78</xdr:row>
      <xdr:rowOff>441325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7648" y="40354250"/>
          <a:ext cx="1988079" cy="1816100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79</xdr:row>
      <xdr:rowOff>38100</xdr:rowOff>
    </xdr:from>
    <xdr:to>
      <xdr:col>7</xdr:col>
      <xdr:colOff>6276975</xdr:colOff>
      <xdr:row>83</xdr:row>
      <xdr:rowOff>428625</xdr:rowOff>
    </xdr:to>
    <xdr:graphicFrame macro="">
      <xdr:nvGraphicFramePr>
        <xdr:cNvPr id="34" name="G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6</xdr:col>
      <xdr:colOff>353748</xdr:colOff>
      <xdr:row>80</xdr:row>
      <xdr:rowOff>25400</xdr:rowOff>
    </xdr:from>
    <xdr:to>
      <xdr:col>6</xdr:col>
      <xdr:colOff>2341827</xdr:colOff>
      <xdr:row>83</xdr:row>
      <xdr:rowOff>441325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7648" y="42687875"/>
          <a:ext cx="1988079" cy="1816100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84</xdr:row>
      <xdr:rowOff>38100</xdr:rowOff>
    </xdr:from>
    <xdr:to>
      <xdr:col>7</xdr:col>
      <xdr:colOff>6276975</xdr:colOff>
      <xdr:row>88</xdr:row>
      <xdr:rowOff>428625</xdr:rowOff>
    </xdr:to>
    <xdr:graphicFrame macro="">
      <xdr:nvGraphicFramePr>
        <xdr:cNvPr id="36" name="G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6</xdr:col>
      <xdr:colOff>388143</xdr:colOff>
      <xdr:row>85</xdr:row>
      <xdr:rowOff>25400</xdr:rowOff>
    </xdr:from>
    <xdr:to>
      <xdr:col>6</xdr:col>
      <xdr:colOff>2307431</xdr:colOff>
      <xdr:row>88</xdr:row>
      <xdr:rowOff>441325</xdr:rowOff>
    </xdr:to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043" y="45021500"/>
          <a:ext cx="1919288" cy="1816100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89</xdr:row>
      <xdr:rowOff>38100</xdr:rowOff>
    </xdr:from>
    <xdr:to>
      <xdr:col>7</xdr:col>
      <xdr:colOff>6276975</xdr:colOff>
      <xdr:row>93</xdr:row>
      <xdr:rowOff>428625</xdr:rowOff>
    </xdr:to>
    <xdr:graphicFrame macro="">
      <xdr:nvGraphicFramePr>
        <xdr:cNvPr id="38" name="G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6</xdr:col>
      <xdr:colOff>388143</xdr:colOff>
      <xdr:row>90</xdr:row>
      <xdr:rowOff>25400</xdr:rowOff>
    </xdr:from>
    <xdr:to>
      <xdr:col>6</xdr:col>
      <xdr:colOff>2307431</xdr:colOff>
      <xdr:row>93</xdr:row>
      <xdr:rowOff>441325</xdr:rowOff>
    </xdr:to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043" y="47355125"/>
          <a:ext cx="1919288" cy="1816100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94</xdr:row>
      <xdr:rowOff>38100</xdr:rowOff>
    </xdr:from>
    <xdr:to>
      <xdr:col>7</xdr:col>
      <xdr:colOff>6276975</xdr:colOff>
      <xdr:row>98</xdr:row>
      <xdr:rowOff>428625</xdr:rowOff>
    </xdr:to>
    <xdr:graphicFrame macro="">
      <xdr:nvGraphicFramePr>
        <xdr:cNvPr id="40" name="G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6</xdr:col>
      <xdr:colOff>388143</xdr:colOff>
      <xdr:row>95</xdr:row>
      <xdr:rowOff>25400</xdr:rowOff>
    </xdr:from>
    <xdr:to>
      <xdr:col>6</xdr:col>
      <xdr:colOff>2307431</xdr:colOff>
      <xdr:row>98</xdr:row>
      <xdr:rowOff>441325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2043" y="49688750"/>
          <a:ext cx="1919288" cy="1816100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99</xdr:row>
      <xdr:rowOff>38100</xdr:rowOff>
    </xdr:from>
    <xdr:to>
      <xdr:col>7</xdr:col>
      <xdr:colOff>6276975</xdr:colOff>
      <xdr:row>103</xdr:row>
      <xdr:rowOff>428625</xdr:rowOff>
    </xdr:to>
    <xdr:graphicFrame macro="">
      <xdr:nvGraphicFramePr>
        <xdr:cNvPr id="42" name="G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6</xdr:col>
      <xdr:colOff>398463</xdr:colOff>
      <xdr:row>100</xdr:row>
      <xdr:rowOff>25400</xdr:rowOff>
    </xdr:from>
    <xdr:to>
      <xdr:col>6</xdr:col>
      <xdr:colOff>2297113</xdr:colOff>
      <xdr:row>103</xdr:row>
      <xdr:rowOff>441325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2363" y="52022375"/>
          <a:ext cx="1898650" cy="1816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104"/>
  <sheetViews>
    <sheetView showGridLines="0" tabSelected="1" zoomScale="75" zoomScaleNormal="75" zoomScaleSheetLayoutView="85" zoomScalePageLayoutView="55" workbookViewId="0">
      <selection sqref="A1:H1"/>
    </sheetView>
  </sheetViews>
  <sheetFormatPr defaultColWidth="11.42578125" defaultRowHeight="15" x14ac:dyDescent="0.25"/>
  <cols>
    <col min="1" max="1" width="7.28515625" style="38" customWidth="1"/>
    <col min="2" max="2" width="14.42578125" style="39" bestFit="1" customWidth="1"/>
    <col min="3" max="6" width="12.140625" style="39" customWidth="1"/>
    <col min="7" max="7" width="40.42578125" style="39" customWidth="1"/>
    <col min="8" max="8" width="94.7109375" style="27" customWidth="1"/>
    <col min="9" max="9" width="11.42578125" style="5"/>
    <col min="10" max="10" width="20.140625" style="1" customWidth="1"/>
    <col min="11" max="11" width="20.140625" style="22" customWidth="1"/>
    <col min="12" max="13" width="20.140625" style="1" customWidth="1"/>
    <col min="14" max="14" width="20.140625" style="5" customWidth="1"/>
    <col min="15" max="15" width="20.140625" style="1" customWidth="1"/>
    <col min="16" max="16384" width="11.42578125" style="1"/>
  </cols>
  <sheetData>
    <row r="1" spans="1:16" ht="47.25" thickBot="1" x14ac:dyDescent="0.3">
      <c r="A1" s="45" t="str">
        <f>data!B8</f>
        <v>Part Model N - Cep Report</v>
      </c>
      <c r="B1" s="46"/>
      <c r="C1" s="46"/>
      <c r="D1" s="46"/>
      <c r="E1" s="46"/>
      <c r="F1" s="46"/>
      <c r="G1" s="46"/>
      <c r="H1" s="47"/>
      <c r="I1" s="36"/>
      <c r="J1" s="4"/>
      <c r="K1" s="4"/>
      <c r="L1" s="4"/>
      <c r="M1" s="4"/>
    </row>
    <row r="2" spans="1:16" ht="21" customHeight="1" x14ac:dyDescent="0.25">
      <c r="A2" s="48"/>
      <c r="B2" s="49"/>
      <c r="C2" s="49"/>
      <c r="D2" s="49"/>
      <c r="E2" s="49"/>
      <c r="F2" s="49"/>
      <c r="G2" s="49"/>
      <c r="H2" s="26"/>
    </row>
    <row r="3" spans="1:16" x14ac:dyDescent="0.25">
      <c r="A3" s="40" t="s">
        <v>0</v>
      </c>
      <c r="B3" s="41" t="str">
        <f>data!A1</f>
        <v>15/06/2026</v>
      </c>
      <c r="D3" s="42" t="s">
        <v>1</v>
      </c>
      <c r="E3" s="43">
        <f>data!B1</f>
        <v>0.50347222222222221</v>
      </c>
      <c r="F3" s="44"/>
      <c r="G3" s="42"/>
      <c r="H3" s="50" t="str">
        <f>"Nº of Features: "&amp;(COUNTA(data!A:A)-1)/7</f>
        <v>Nº of Features: 20</v>
      </c>
      <c r="M3" s="2"/>
    </row>
    <row r="4" spans="1:16" ht="300" customHeight="1" thickBot="1" x14ac:dyDescent="0.3">
      <c r="A4" s="51" t="s">
        <v>2</v>
      </c>
      <c r="B4" s="52"/>
      <c r="C4" s="52"/>
      <c r="D4" s="52"/>
      <c r="E4" s="52"/>
      <c r="F4" s="52"/>
      <c r="G4" s="52"/>
      <c r="H4" s="32"/>
      <c r="I4" s="37"/>
      <c r="J4" s="19" t="s">
        <v>18</v>
      </c>
      <c r="K4" s="19" t="s">
        <v>25</v>
      </c>
      <c r="L4" s="19" t="s">
        <v>27</v>
      </c>
      <c r="M4" s="19" t="s">
        <v>26</v>
      </c>
      <c r="N4" s="19" t="s">
        <v>19</v>
      </c>
      <c r="O4" s="19" t="s">
        <v>20</v>
      </c>
      <c r="P4" s="20" t="s">
        <v>21</v>
      </c>
    </row>
    <row r="5" spans="1:16" s="25" customFormat="1" ht="36.75" customHeight="1" thickBot="1" x14ac:dyDescent="0.3">
      <c r="A5" s="21" t="s">
        <v>3</v>
      </c>
      <c r="B5" s="6" t="s">
        <v>33</v>
      </c>
      <c r="C5" s="14" t="s">
        <v>15</v>
      </c>
      <c r="D5" s="28" t="str">
        <f ca="1">OFFSET(INDEX(data!E:E,MATCH(B5,data!E:E,0)),0,1)</f>
        <v>Upper Part Inboard LH Hole - Pos X</v>
      </c>
      <c r="E5" s="28"/>
      <c r="F5" s="28"/>
      <c r="G5" s="29"/>
      <c r="H5" s="30">
        <f ca="1">OFFSET(INDEX(data!E:E,MATCH(B5,data!E:E,0)),0,3)</f>
        <v>62</v>
      </c>
      <c r="I5" s="5"/>
      <c r="J5" s="23" t="str">
        <f ca="1">OFFSET(INDEX(data!E:E,MATCH(B5,data!E:E,0)),0,-2)</f>
        <v>PART01</v>
      </c>
      <c r="K5" s="23" t="str">
        <f ca="1">OFFSET(INDEX(data!E:E,MATCH(B5,data!E:E,0)),0,-1)</f>
        <v>Upper Sub-Assembly</v>
      </c>
      <c r="L5" s="25" t="str">
        <f>B5</f>
        <v>PART01_01L_X</v>
      </c>
      <c r="M5" s="25" t="str">
        <f ca="1">B6</f>
        <v>Pos X</v>
      </c>
      <c r="N5" s="24">
        <f ca="1">F7</f>
        <v>0.76532258064517578</v>
      </c>
      <c r="O5" s="24">
        <f ca="1">F8</f>
        <v>2.1561263198124223</v>
      </c>
      <c r="P5" s="24">
        <f ca="1">F9</f>
        <v>1.6060822667204795</v>
      </c>
    </row>
    <row r="6" spans="1:16" s="25" customFormat="1" ht="36.75" customHeight="1" x14ac:dyDescent="0.25">
      <c r="A6" s="12" t="s">
        <v>4</v>
      </c>
      <c r="B6" s="7" t="str">
        <f ca="1">OFFSET(INDEX(data!E:E,MATCH(B5,data!E:E,0)),0,2)</f>
        <v>Pos X</v>
      </c>
      <c r="C6" s="15" t="s">
        <v>8</v>
      </c>
      <c r="D6" s="17">
        <f ca="1">OFFSET(INDEX(data!E:E,MATCH(B5,data!E:E,0)),-4,(H5-5)-(B7-1))</f>
        <v>226.2</v>
      </c>
      <c r="E6" s="15" t="s">
        <v>11</v>
      </c>
      <c r="F6" s="17">
        <f ca="1">AVERAGE(OFFSET(INDEX(data!E:E,MATCH(B5,data!E:E,0)),-1,(H5-5)-(B7-1),1,B7))</f>
        <v>226.96532258064516</v>
      </c>
      <c r="G6" s="33"/>
      <c r="H6" s="31"/>
      <c r="I6" s="5"/>
      <c r="J6" s="23" t="str">
        <f ca="1">J5</f>
        <v>PART01</v>
      </c>
      <c r="K6" s="23" t="str">
        <f ca="1">K5</f>
        <v>Upper Sub-Assembly</v>
      </c>
      <c r="L6" s="25" t="str">
        <f>L5</f>
        <v>PART01_01L_X</v>
      </c>
      <c r="M6" s="25" t="str">
        <f ca="1">M5</f>
        <v>Pos X</v>
      </c>
      <c r="N6" s="24">
        <f t="shared" ref="N6:P9" ca="1" si="0">N5</f>
        <v>0.76532258064517578</v>
      </c>
      <c r="O6" s="24">
        <f t="shared" ca="1" si="0"/>
        <v>2.1561263198124223</v>
      </c>
      <c r="P6" s="24">
        <f t="shared" ca="1" si="0"/>
        <v>1.6060822667204795</v>
      </c>
    </row>
    <row r="7" spans="1:16" s="25" customFormat="1" ht="36.75" customHeight="1" x14ac:dyDescent="0.25">
      <c r="A7" s="12" t="s">
        <v>5</v>
      </c>
      <c r="B7" s="16">
        <f ca="1">H5</f>
        <v>62</v>
      </c>
      <c r="C7" s="12" t="s">
        <v>9</v>
      </c>
      <c r="D7" s="10">
        <f ca="1">OFFSET(INDEX(data!E:E,MATCH(B5,data!E:E,0)),-3,(H5-5)-(B7-1))</f>
        <v>223.2</v>
      </c>
      <c r="E7" s="12" t="s">
        <v>12</v>
      </c>
      <c r="F7" s="10">
        <f ca="1">F6-D6</f>
        <v>0.76532258064517578</v>
      </c>
      <c r="G7" s="34"/>
      <c r="H7" s="31"/>
      <c r="I7" s="5"/>
      <c r="J7" s="23" t="str">
        <f t="shared" ref="J7:L9" ca="1" si="1">J6</f>
        <v>PART01</v>
      </c>
      <c r="K7" s="23" t="str">
        <f t="shared" ca="1" si="1"/>
        <v>Upper Sub-Assembly</v>
      </c>
      <c r="L7" s="25" t="str">
        <f t="shared" si="1"/>
        <v>PART01_01L_X</v>
      </c>
      <c r="M7" s="25" t="str">
        <f ca="1">M6</f>
        <v>Pos X</v>
      </c>
      <c r="N7" s="24">
        <f t="shared" ca="1" si="0"/>
        <v>0.76532258064517578</v>
      </c>
      <c r="O7" s="24">
        <f t="shared" ca="1" si="0"/>
        <v>2.1561263198124223</v>
      </c>
      <c r="P7" s="24">
        <f t="shared" ca="1" si="0"/>
        <v>1.6060822667204795</v>
      </c>
    </row>
    <row r="8" spans="1:16" s="25" customFormat="1" ht="36.75" customHeight="1" x14ac:dyDescent="0.25">
      <c r="A8" s="12" t="s">
        <v>6</v>
      </c>
      <c r="B8" s="8">
        <f ca="1">OFFSET(INDEX(data!E:E,MATCH(B5,data!E:E,0)),-6,(H5-5)-(B7-1))</f>
        <v>46169</v>
      </c>
      <c r="C8" s="12" t="s">
        <v>10</v>
      </c>
      <c r="D8" s="10">
        <f ca="1">OFFSET(INDEX(data!E:E,MATCH(B5,data!E:E,0)),-2,(H5-5)-(B7-1))</f>
        <v>229.2</v>
      </c>
      <c r="E8" s="12" t="s">
        <v>13</v>
      </c>
      <c r="F8" s="10">
        <f ca="1">(D8-D7)/(6*_xlfn.STDEV.P(OFFSET(INDEX(data!E:E,MATCH(B5,data!E:E,0)),-1,(H5-5)-(B7-1),1,B7)))</f>
        <v>2.1561263198124223</v>
      </c>
      <c r="G8" s="34"/>
      <c r="H8" s="31"/>
      <c r="I8" s="5"/>
      <c r="J8" s="23" t="str">
        <f t="shared" ca="1" si="1"/>
        <v>PART01</v>
      </c>
      <c r="K8" s="23" t="str">
        <f t="shared" ca="1" si="1"/>
        <v>Upper Sub-Assembly</v>
      </c>
      <c r="L8" s="25" t="str">
        <f t="shared" si="1"/>
        <v>PART01_01L_X</v>
      </c>
      <c r="M8" s="25" t="str">
        <f ca="1">M7</f>
        <v>Pos X</v>
      </c>
      <c r="N8" s="24">
        <f t="shared" ca="1" si="0"/>
        <v>0.76532258064517578</v>
      </c>
      <c r="O8" s="24">
        <f t="shared" ca="1" si="0"/>
        <v>2.1561263198124223</v>
      </c>
      <c r="P8" s="24">
        <f t="shared" ca="1" si="0"/>
        <v>1.6060822667204795</v>
      </c>
    </row>
    <row r="9" spans="1:16" s="25" customFormat="1" ht="36.75" customHeight="1" thickBot="1" x14ac:dyDescent="0.3">
      <c r="A9" s="13" t="s">
        <v>7</v>
      </c>
      <c r="B9" s="9">
        <f ca="1">OFFSET(INDEX(data!E:E,MATCH(B5,data!E:E,0)),-6,H5-5)</f>
        <v>46186</v>
      </c>
      <c r="C9" s="13" t="s">
        <v>16</v>
      </c>
      <c r="D9" s="11">
        <f ca="1">OFFSET(INDEX(data!E:E,MATCH(B5,data!E:E,0)),-1,H5-5)</f>
        <v>227</v>
      </c>
      <c r="E9" s="13" t="s">
        <v>14</v>
      </c>
      <c r="F9" s="11">
        <f ca="1">MIN((D8-F6)/(3*_xlfn.STDEV.P(OFFSET(INDEX(data!E:E,MATCH(B5,data!E:E,0)),-1,(H5-5)-(B7-1),1,B7))),(F6-D7)/(3*_xlfn.STDEV.P(OFFSET(INDEX(data!E:E,MATCH(B5,data!E:E,0)),-1,(H5-5)-(B7-1),1,B7))))</f>
        <v>1.6060822667204795</v>
      </c>
      <c r="G9" s="35"/>
      <c r="H9" s="32"/>
      <c r="I9" s="5"/>
      <c r="J9" s="23" t="str">
        <f t="shared" ca="1" si="1"/>
        <v>PART01</v>
      </c>
      <c r="K9" s="23" t="str">
        <f t="shared" ca="1" si="1"/>
        <v>Upper Sub-Assembly</v>
      </c>
      <c r="L9" s="25" t="str">
        <f t="shared" si="1"/>
        <v>PART01_01L_X</v>
      </c>
      <c r="M9" s="25" t="str">
        <f ca="1">M8</f>
        <v>Pos X</v>
      </c>
      <c r="N9" s="24">
        <f t="shared" ca="1" si="0"/>
        <v>0.76532258064517578</v>
      </c>
      <c r="O9" s="24">
        <f t="shared" ca="1" si="0"/>
        <v>2.1561263198124223</v>
      </c>
      <c r="P9" s="24">
        <f t="shared" ca="1" si="0"/>
        <v>1.6060822667204795</v>
      </c>
    </row>
    <row r="10" spans="1:16" s="25" customFormat="1" ht="36.75" customHeight="1" thickBot="1" x14ac:dyDescent="0.3">
      <c r="A10" s="21" t="s">
        <v>3</v>
      </c>
      <c r="B10" s="6" t="s">
        <v>35</v>
      </c>
      <c r="C10" s="14" t="s">
        <v>15</v>
      </c>
      <c r="D10" s="28" t="str">
        <f ca="1">OFFSET(INDEX(data!E:E,MATCH(B10,data!E:E,0)),0,1)</f>
        <v>Upper Part Inboard LH Hole - Pos Y</v>
      </c>
      <c r="E10" s="28"/>
      <c r="F10" s="28"/>
      <c r="G10" s="29"/>
      <c r="H10" s="30">
        <f ca="1">OFFSET(INDEX(data!E:E,MATCH(B10,data!E:E,0)),0,3)</f>
        <v>62</v>
      </c>
      <c r="I10" s="5"/>
      <c r="J10" s="23" t="str">
        <f ca="1">OFFSET(INDEX(data!E:E,MATCH(B10,data!E:E,0)),0,-2)</f>
        <v>PART01</v>
      </c>
      <c r="K10" s="23" t="str">
        <f ca="1">OFFSET(INDEX(data!E:E,MATCH(B10,data!E:E,0)),0,-1)</f>
        <v>Upper Sub-Assembly</v>
      </c>
      <c r="L10" s="25" t="str">
        <f>B10</f>
        <v>PART01_01L_Y</v>
      </c>
      <c r="M10" s="25" t="str">
        <f ca="1">B11</f>
        <v>Pos Y</v>
      </c>
      <c r="N10" s="24">
        <f ca="1">F12</f>
        <v>-1.7030645161290749</v>
      </c>
      <c r="O10" s="24">
        <f ca="1">F13</f>
        <v>1.6053392602017411</v>
      </c>
      <c r="P10" s="24">
        <f ca="1">F14</f>
        <v>0.69400715006891267</v>
      </c>
    </row>
    <row r="11" spans="1:16" s="25" customFormat="1" ht="36.75" customHeight="1" x14ac:dyDescent="0.25">
      <c r="A11" s="12" t="s">
        <v>4</v>
      </c>
      <c r="B11" s="7" t="str">
        <f ca="1">OFFSET(INDEX(data!E:E,MATCH(B10,data!E:E,0)),0,2)</f>
        <v>Pos Y</v>
      </c>
      <c r="C11" s="15" t="s">
        <v>8</v>
      </c>
      <c r="D11" s="17">
        <f ca="1">OFFSET(INDEX(data!E:E,MATCH(B10,data!E:E,0)),-4,(H10-5)-(B12-1))</f>
        <v>-326</v>
      </c>
      <c r="E11" s="15" t="s">
        <v>11</v>
      </c>
      <c r="F11" s="17">
        <f ca="1">AVERAGE(OFFSET(INDEX(data!E:E,MATCH(B10,data!E:E,0)),-1,(H10-5)-(B12-1),1,B12))</f>
        <v>-327.70306451612907</v>
      </c>
      <c r="G11" s="33"/>
      <c r="H11" s="31"/>
      <c r="I11" s="5"/>
      <c r="J11" s="23" t="str">
        <f ca="1">J10</f>
        <v>PART01</v>
      </c>
      <c r="K11" s="23" t="str">
        <f ca="1">K10</f>
        <v>Upper Sub-Assembly</v>
      </c>
      <c r="L11" s="25" t="str">
        <f>L10</f>
        <v>PART01_01L_Y</v>
      </c>
      <c r="M11" s="25" t="str">
        <f ca="1">M10</f>
        <v>Pos Y</v>
      </c>
      <c r="N11" s="24">
        <f t="shared" ref="N11:P14" ca="1" si="2">N10</f>
        <v>-1.7030645161290749</v>
      </c>
      <c r="O11" s="24">
        <f t="shared" ca="1" si="2"/>
        <v>1.6053392602017411</v>
      </c>
      <c r="P11" s="24">
        <f t="shared" ca="1" si="2"/>
        <v>0.69400715006891267</v>
      </c>
    </row>
    <row r="12" spans="1:16" s="25" customFormat="1" ht="36.75" customHeight="1" x14ac:dyDescent="0.25">
      <c r="A12" s="12" t="s">
        <v>5</v>
      </c>
      <c r="B12" s="16">
        <f ca="1">H10</f>
        <v>62</v>
      </c>
      <c r="C12" s="12" t="s">
        <v>9</v>
      </c>
      <c r="D12" s="10">
        <f ca="1">OFFSET(INDEX(data!E:E,MATCH(B10,data!E:E,0)),-3,(H10-5)-(B12-1))</f>
        <v>-329</v>
      </c>
      <c r="E12" s="12" t="s">
        <v>12</v>
      </c>
      <c r="F12" s="10">
        <f ca="1">F11-D11</f>
        <v>-1.7030645161290749</v>
      </c>
      <c r="G12" s="34"/>
      <c r="H12" s="31"/>
      <c r="I12" s="5"/>
      <c r="J12" s="23" t="str">
        <f t="shared" ref="J12:L14" ca="1" si="3">J11</f>
        <v>PART01</v>
      </c>
      <c r="K12" s="23" t="str">
        <f t="shared" ca="1" si="3"/>
        <v>Upper Sub-Assembly</v>
      </c>
      <c r="L12" s="25" t="str">
        <f t="shared" si="3"/>
        <v>PART01_01L_Y</v>
      </c>
      <c r="M12" s="25" t="str">
        <f ca="1">M11</f>
        <v>Pos Y</v>
      </c>
      <c r="N12" s="24">
        <f t="shared" ca="1" si="2"/>
        <v>-1.7030645161290749</v>
      </c>
      <c r="O12" s="24">
        <f t="shared" ca="1" si="2"/>
        <v>1.6053392602017411</v>
      </c>
      <c r="P12" s="24">
        <f t="shared" ca="1" si="2"/>
        <v>0.69400715006891267</v>
      </c>
    </row>
    <row r="13" spans="1:16" s="25" customFormat="1" ht="36.75" customHeight="1" x14ac:dyDescent="0.25">
      <c r="A13" s="12" t="s">
        <v>6</v>
      </c>
      <c r="B13" s="8">
        <f ca="1">OFFSET(INDEX(data!E:E,MATCH(B10,data!E:E,0)),-6,(H10-5)-(B12-1))</f>
        <v>46169</v>
      </c>
      <c r="C13" s="12" t="s">
        <v>10</v>
      </c>
      <c r="D13" s="10">
        <f ca="1">OFFSET(INDEX(data!E:E,MATCH(B10,data!E:E,0)),-2,(H10-5)-(B12-1))</f>
        <v>-323</v>
      </c>
      <c r="E13" s="12" t="s">
        <v>13</v>
      </c>
      <c r="F13" s="10">
        <f ca="1">(D13-D12)/(6*_xlfn.STDEV.P(OFFSET(INDEX(data!E:E,MATCH(B10,data!E:E,0)),-1,(H10-5)-(B12-1),1,B12)))</f>
        <v>1.6053392602017411</v>
      </c>
      <c r="G13" s="34"/>
      <c r="H13" s="31"/>
      <c r="I13" s="5"/>
      <c r="J13" s="23" t="str">
        <f t="shared" ca="1" si="3"/>
        <v>PART01</v>
      </c>
      <c r="K13" s="23" t="str">
        <f t="shared" ca="1" si="3"/>
        <v>Upper Sub-Assembly</v>
      </c>
      <c r="L13" s="25" t="str">
        <f t="shared" si="3"/>
        <v>PART01_01L_Y</v>
      </c>
      <c r="M13" s="25" t="str">
        <f ca="1">M12</f>
        <v>Pos Y</v>
      </c>
      <c r="N13" s="24">
        <f t="shared" ca="1" si="2"/>
        <v>-1.7030645161290749</v>
      </c>
      <c r="O13" s="24">
        <f t="shared" ca="1" si="2"/>
        <v>1.6053392602017411</v>
      </c>
      <c r="P13" s="24">
        <f t="shared" ca="1" si="2"/>
        <v>0.69400715006891267</v>
      </c>
    </row>
    <row r="14" spans="1:16" s="25" customFormat="1" ht="36.75" customHeight="1" thickBot="1" x14ac:dyDescent="0.3">
      <c r="A14" s="13" t="s">
        <v>7</v>
      </c>
      <c r="B14" s="9">
        <f ca="1">OFFSET(INDEX(data!E:E,MATCH(B10,data!E:E,0)),-6,H10-5)</f>
        <v>46186</v>
      </c>
      <c r="C14" s="13" t="s">
        <v>16</v>
      </c>
      <c r="D14" s="11">
        <f ca="1">OFFSET(INDEX(data!E:E,MATCH(B10,data!E:E,0)),-1,H10-5)</f>
        <v>-327.89</v>
      </c>
      <c r="E14" s="13" t="s">
        <v>14</v>
      </c>
      <c r="F14" s="11">
        <f ca="1">MIN((D13-F11)/(3*_xlfn.STDEV.P(OFFSET(INDEX(data!E:E,MATCH(B10,data!E:E,0)),-1,(H10-5)-(B12-1),1,B12))),(F11-D12)/(3*_xlfn.STDEV.P(OFFSET(INDEX(data!E:E,MATCH(B10,data!E:E,0)),-1,(H10-5)-(B12-1),1,B12))))</f>
        <v>0.69400715006891267</v>
      </c>
      <c r="G14" s="35"/>
      <c r="H14" s="32"/>
      <c r="I14" s="5"/>
      <c r="J14" s="23" t="str">
        <f t="shared" ca="1" si="3"/>
        <v>PART01</v>
      </c>
      <c r="K14" s="23" t="str">
        <f t="shared" ca="1" si="3"/>
        <v>Upper Sub-Assembly</v>
      </c>
      <c r="L14" s="25" t="str">
        <f t="shared" si="3"/>
        <v>PART01_01L_Y</v>
      </c>
      <c r="M14" s="25" t="str">
        <f ca="1">M13</f>
        <v>Pos Y</v>
      </c>
      <c r="N14" s="24">
        <f t="shared" ca="1" si="2"/>
        <v>-1.7030645161290749</v>
      </c>
      <c r="O14" s="24">
        <f t="shared" ca="1" si="2"/>
        <v>1.6053392602017411</v>
      </c>
      <c r="P14" s="24">
        <f t="shared" ca="1" si="2"/>
        <v>0.69400715006891267</v>
      </c>
    </row>
    <row r="15" spans="1:16" s="25" customFormat="1" ht="36.75" customHeight="1" thickBot="1" x14ac:dyDescent="0.3">
      <c r="A15" s="21" t="s">
        <v>3</v>
      </c>
      <c r="B15" s="6" t="s">
        <v>37</v>
      </c>
      <c r="C15" s="14" t="s">
        <v>15</v>
      </c>
      <c r="D15" s="28" t="str">
        <f ca="1">OFFSET(INDEX(data!E:E,MATCH(B15,data!E:E,0)),0,1)</f>
        <v>Upper Part Inboard LH Hole - Pos Z</v>
      </c>
      <c r="E15" s="28"/>
      <c r="F15" s="28"/>
      <c r="G15" s="29"/>
      <c r="H15" s="30">
        <f ca="1">OFFSET(INDEX(data!E:E,MATCH(B15,data!E:E,0)),0,3)</f>
        <v>62</v>
      </c>
      <c r="I15" s="5"/>
      <c r="J15" s="23" t="str">
        <f ca="1">OFFSET(INDEX(data!E:E,MATCH(B15,data!E:E,0)),0,-2)</f>
        <v>PART01</v>
      </c>
      <c r="K15" s="23" t="str">
        <f ca="1">OFFSET(INDEX(data!E:E,MATCH(B15,data!E:E,0)),0,-1)</f>
        <v>Upper Sub-Assembly</v>
      </c>
      <c r="L15" s="25" t="str">
        <f>B15</f>
        <v>PART01_01L_Z</v>
      </c>
      <c r="M15" s="25" t="str">
        <f ca="1">B16</f>
        <v>Pos Z</v>
      </c>
      <c r="N15" s="24">
        <f ca="1">F17</f>
        <v>-0.43935483870961889</v>
      </c>
      <c r="O15" s="24">
        <f ca="1">F18</f>
        <v>2.834179178914257</v>
      </c>
      <c r="P15" s="24">
        <f ca="1">F19</f>
        <v>2.419109066905579</v>
      </c>
    </row>
    <row r="16" spans="1:16" s="25" customFormat="1" ht="36.75" customHeight="1" x14ac:dyDescent="0.25">
      <c r="A16" s="12" t="s">
        <v>4</v>
      </c>
      <c r="B16" s="7" t="str">
        <f ca="1">OFFSET(INDEX(data!E:E,MATCH(B15,data!E:E,0)),0,2)</f>
        <v>Pos Z</v>
      </c>
      <c r="C16" s="15" t="s">
        <v>8</v>
      </c>
      <c r="D16" s="17">
        <f ca="1">OFFSET(INDEX(data!E:E,MATCH(B15,data!E:E,0)),-4,(H15-5)-(B17-1))</f>
        <v>990.2</v>
      </c>
      <c r="E16" s="15" t="s">
        <v>11</v>
      </c>
      <c r="F16" s="17">
        <f ca="1">AVERAGE(OFFSET(INDEX(data!E:E,MATCH(B15,data!E:E,0)),-1,(H15-5)-(B17-1),1,B17))</f>
        <v>989.76064516129043</v>
      </c>
      <c r="G16" s="33"/>
      <c r="H16" s="31"/>
      <c r="I16" s="5"/>
      <c r="J16" s="23" t="str">
        <f ca="1">J15</f>
        <v>PART01</v>
      </c>
      <c r="K16" s="23" t="str">
        <f ca="1">K15</f>
        <v>Upper Sub-Assembly</v>
      </c>
      <c r="L16" s="25" t="str">
        <f>L15</f>
        <v>PART01_01L_Z</v>
      </c>
      <c r="M16" s="25" t="str">
        <f ca="1">M15</f>
        <v>Pos Z</v>
      </c>
      <c r="N16" s="24">
        <f t="shared" ref="N16:P19" ca="1" si="4">N15</f>
        <v>-0.43935483870961889</v>
      </c>
      <c r="O16" s="24">
        <f t="shared" ca="1" si="4"/>
        <v>2.834179178914257</v>
      </c>
      <c r="P16" s="24">
        <f t="shared" ca="1" si="4"/>
        <v>2.419109066905579</v>
      </c>
    </row>
    <row r="17" spans="1:16" s="25" customFormat="1" ht="36.75" customHeight="1" x14ac:dyDescent="0.25">
      <c r="A17" s="12" t="s">
        <v>5</v>
      </c>
      <c r="B17" s="16">
        <f ca="1">H15</f>
        <v>62</v>
      </c>
      <c r="C17" s="12" t="s">
        <v>9</v>
      </c>
      <c r="D17" s="10">
        <f ca="1">OFFSET(INDEX(data!E:E,MATCH(B15,data!E:E,0)),-3,(H15-5)-(B17-1))</f>
        <v>987.2</v>
      </c>
      <c r="E17" s="12" t="s">
        <v>12</v>
      </c>
      <c r="F17" s="10">
        <f ca="1">F16-D16</f>
        <v>-0.43935483870961889</v>
      </c>
      <c r="G17" s="34"/>
      <c r="H17" s="31"/>
      <c r="I17" s="5"/>
      <c r="J17" s="23" t="str">
        <f t="shared" ref="J17:L19" ca="1" si="5">J16</f>
        <v>PART01</v>
      </c>
      <c r="K17" s="23" t="str">
        <f t="shared" ca="1" si="5"/>
        <v>Upper Sub-Assembly</v>
      </c>
      <c r="L17" s="25" t="str">
        <f t="shared" si="5"/>
        <v>PART01_01L_Z</v>
      </c>
      <c r="M17" s="25" t="str">
        <f ca="1">M16</f>
        <v>Pos Z</v>
      </c>
      <c r="N17" s="24">
        <f t="shared" ca="1" si="4"/>
        <v>-0.43935483870961889</v>
      </c>
      <c r="O17" s="24">
        <f t="shared" ca="1" si="4"/>
        <v>2.834179178914257</v>
      </c>
      <c r="P17" s="24">
        <f t="shared" ca="1" si="4"/>
        <v>2.419109066905579</v>
      </c>
    </row>
    <row r="18" spans="1:16" s="25" customFormat="1" ht="36.75" customHeight="1" x14ac:dyDescent="0.25">
      <c r="A18" s="12" t="s">
        <v>6</v>
      </c>
      <c r="B18" s="8">
        <f ca="1">OFFSET(INDEX(data!E:E,MATCH(B15,data!E:E,0)),-6,(H15-5)-(B17-1))</f>
        <v>46169</v>
      </c>
      <c r="C18" s="12" t="s">
        <v>10</v>
      </c>
      <c r="D18" s="10">
        <f ca="1">OFFSET(INDEX(data!E:E,MATCH(B15,data!E:E,0)),-2,(H15-5)-(B17-1))</f>
        <v>993.2</v>
      </c>
      <c r="E18" s="12" t="s">
        <v>13</v>
      </c>
      <c r="F18" s="10">
        <f ca="1">(D18-D17)/(6*_xlfn.STDEV.P(OFFSET(INDEX(data!E:E,MATCH(B15,data!E:E,0)),-1,(H15-5)-(B17-1),1,B17)))</f>
        <v>2.834179178914257</v>
      </c>
      <c r="G18" s="34"/>
      <c r="H18" s="31"/>
      <c r="I18" s="5"/>
      <c r="J18" s="23" t="str">
        <f t="shared" ca="1" si="5"/>
        <v>PART01</v>
      </c>
      <c r="K18" s="23" t="str">
        <f t="shared" ca="1" si="5"/>
        <v>Upper Sub-Assembly</v>
      </c>
      <c r="L18" s="25" t="str">
        <f t="shared" si="5"/>
        <v>PART01_01L_Z</v>
      </c>
      <c r="M18" s="25" t="str">
        <f ca="1">M17</f>
        <v>Pos Z</v>
      </c>
      <c r="N18" s="24">
        <f t="shared" ca="1" si="4"/>
        <v>-0.43935483870961889</v>
      </c>
      <c r="O18" s="24">
        <f t="shared" ca="1" si="4"/>
        <v>2.834179178914257</v>
      </c>
      <c r="P18" s="24">
        <f t="shared" ca="1" si="4"/>
        <v>2.419109066905579</v>
      </c>
    </row>
    <row r="19" spans="1:16" s="25" customFormat="1" ht="36.75" customHeight="1" thickBot="1" x14ac:dyDescent="0.3">
      <c r="A19" s="13" t="s">
        <v>7</v>
      </c>
      <c r="B19" s="9">
        <f ca="1">OFFSET(INDEX(data!E:E,MATCH(B15,data!E:E,0)),-6,H15-5)</f>
        <v>46186</v>
      </c>
      <c r="C19" s="13" t="s">
        <v>16</v>
      </c>
      <c r="D19" s="11">
        <f ca="1">OFFSET(INDEX(data!E:E,MATCH(B15,data!E:E,0)),-1,H15-5)</f>
        <v>989.09</v>
      </c>
      <c r="E19" s="13" t="s">
        <v>14</v>
      </c>
      <c r="F19" s="11">
        <f ca="1">MIN((D18-F16)/(3*_xlfn.STDEV.P(OFFSET(INDEX(data!E:E,MATCH(B15,data!E:E,0)),-1,(H15-5)-(B17-1),1,B17))),(F16-D17)/(3*_xlfn.STDEV.P(OFFSET(INDEX(data!E:E,MATCH(B15,data!E:E,0)),-1,(H15-5)-(B17-1),1,B17))))</f>
        <v>2.419109066905579</v>
      </c>
      <c r="G19" s="35"/>
      <c r="H19" s="32"/>
      <c r="I19" s="5"/>
      <c r="J19" s="23" t="str">
        <f t="shared" ca="1" si="5"/>
        <v>PART01</v>
      </c>
      <c r="K19" s="23" t="str">
        <f t="shared" ca="1" si="5"/>
        <v>Upper Sub-Assembly</v>
      </c>
      <c r="L19" s="25" t="str">
        <f t="shared" si="5"/>
        <v>PART01_01L_Z</v>
      </c>
      <c r="M19" s="25" t="str">
        <f ca="1">M18</f>
        <v>Pos Z</v>
      </c>
      <c r="N19" s="24">
        <f t="shared" ca="1" si="4"/>
        <v>-0.43935483870961889</v>
      </c>
      <c r="O19" s="24">
        <f t="shared" ca="1" si="4"/>
        <v>2.834179178914257</v>
      </c>
      <c r="P19" s="24">
        <f t="shared" ca="1" si="4"/>
        <v>2.419109066905579</v>
      </c>
    </row>
    <row r="20" spans="1:16" s="25" customFormat="1" ht="36.75" customHeight="1" thickBot="1" x14ac:dyDescent="0.3">
      <c r="A20" s="21" t="s">
        <v>3</v>
      </c>
      <c r="B20" s="6" t="s">
        <v>39</v>
      </c>
      <c r="C20" s="14" t="s">
        <v>15</v>
      </c>
      <c r="D20" s="28" t="str">
        <f ca="1">OFFSET(INDEX(data!E:E,MATCH(B20,data!E:E,0)),0,1)</f>
        <v>Upper Part Inboard RH Hole - Pos X</v>
      </c>
      <c r="E20" s="28"/>
      <c r="F20" s="28"/>
      <c r="G20" s="29"/>
      <c r="H20" s="30">
        <f ca="1">OFFSET(INDEX(data!E:E,MATCH(B20,data!E:E,0)),0,3)</f>
        <v>62</v>
      </c>
      <c r="I20" s="5"/>
      <c r="J20" s="23" t="str">
        <f ca="1">OFFSET(INDEX(data!E:E,MATCH(B20,data!E:E,0)),0,-2)</f>
        <v>PART01</v>
      </c>
      <c r="K20" s="23" t="str">
        <f ca="1">OFFSET(INDEX(data!E:E,MATCH(B20,data!E:E,0)),0,-1)</f>
        <v>Upper Sub-Assembly</v>
      </c>
      <c r="L20" s="25" t="str">
        <f>B20</f>
        <v>PART01_01R_X</v>
      </c>
      <c r="M20" s="25" t="str">
        <f ca="1">B21</f>
        <v>Pos X</v>
      </c>
      <c r="N20" s="24">
        <f ca="1">F22</f>
        <v>0.6977419354839185</v>
      </c>
      <c r="O20" s="24">
        <f ca="1">F23</f>
        <v>1.7252763749785354</v>
      </c>
      <c r="P20" s="24">
        <f ca="1">F24</f>
        <v>1.3240104826044681</v>
      </c>
    </row>
    <row r="21" spans="1:16" s="25" customFormat="1" ht="36.75" customHeight="1" x14ac:dyDescent="0.25">
      <c r="A21" s="12" t="s">
        <v>4</v>
      </c>
      <c r="B21" s="7" t="str">
        <f ca="1">OFFSET(INDEX(data!E:E,MATCH(B20,data!E:E,0)),0,2)</f>
        <v>Pos X</v>
      </c>
      <c r="C21" s="15" t="s">
        <v>8</v>
      </c>
      <c r="D21" s="17">
        <f ca="1">OFFSET(INDEX(data!E:E,MATCH(B20,data!E:E,0)),-4,(H20-5)-(B22-1))</f>
        <v>226.2</v>
      </c>
      <c r="E21" s="15" t="s">
        <v>11</v>
      </c>
      <c r="F21" s="17">
        <f ca="1">AVERAGE(OFFSET(INDEX(data!E:E,MATCH(B20,data!E:E,0)),-1,(H20-5)-(B22-1),1,B22))</f>
        <v>226.89774193548391</v>
      </c>
      <c r="G21" s="33"/>
      <c r="H21" s="31"/>
      <c r="I21" s="5"/>
      <c r="J21" s="23" t="str">
        <f ca="1">J20</f>
        <v>PART01</v>
      </c>
      <c r="K21" s="23" t="str">
        <f ca="1">K20</f>
        <v>Upper Sub-Assembly</v>
      </c>
      <c r="L21" s="25" t="str">
        <f>L20</f>
        <v>PART01_01R_X</v>
      </c>
      <c r="M21" s="25" t="str">
        <f ca="1">M20</f>
        <v>Pos X</v>
      </c>
      <c r="N21" s="24">
        <f t="shared" ref="N21:P24" ca="1" si="6">N20</f>
        <v>0.6977419354839185</v>
      </c>
      <c r="O21" s="24">
        <f t="shared" ca="1" si="6"/>
        <v>1.7252763749785354</v>
      </c>
      <c r="P21" s="24">
        <f t="shared" ca="1" si="6"/>
        <v>1.3240104826044681</v>
      </c>
    </row>
    <row r="22" spans="1:16" s="25" customFormat="1" ht="36.75" customHeight="1" x14ac:dyDescent="0.25">
      <c r="A22" s="12" t="s">
        <v>5</v>
      </c>
      <c r="B22" s="16">
        <f ca="1">H20</f>
        <v>62</v>
      </c>
      <c r="C22" s="12" t="s">
        <v>9</v>
      </c>
      <c r="D22" s="10">
        <f ca="1">OFFSET(INDEX(data!E:E,MATCH(B20,data!E:E,0)),-3,(H20-5)-(B22-1))</f>
        <v>223.2</v>
      </c>
      <c r="E22" s="12" t="s">
        <v>12</v>
      </c>
      <c r="F22" s="10">
        <f ca="1">F21-D21</f>
        <v>0.6977419354839185</v>
      </c>
      <c r="G22" s="34"/>
      <c r="H22" s="31"/>
      <c r="I22" s="5"/>
      <c r="J22" s="23" t="str">
        <f t="shared" ref="J22:L24" ca="1" si="7">J21</f>
        <v>PART01</v>
      </c>
      <c r="K22" s="23" t="str">
        <f t="shared" ca="1" si="7"/>
        <v>Upper Sub-Assembly</v>
      </c>
      <c r="L22" s="25" t="str">
        <f t="shared" si="7"/>
        <v>PART01_01R_X</v>
      </c>
      <c r="M22" s="25" t="str">
        <f ca="1">M21</f>
        <v>Pos X</v>
      </c>
      <c r="N22" s="24">
        <f t="shared" ca="1" si="6"/>
        <v>0.6977419354839185</v>
      </c>
      <c r="O22" s="24">
        <f t="shared" ca="1" si="6"/>
        <v>1.7252763749785354</v>
      </c>
      <c r="P22" s="24">
        <f t="shared" ca="1" si="6"/>
        <v>1.3240104826044681</v>
      </c>
    </row>
    <row r="23" spans="1:16" s="25" customFormat="1" ht="36.75" customHeight="1" x14ac:dyDescent="0.25">
      <c r="A23" s="12" t="s">
        <v>6</v>
      </c>
      <c r="B23" s="8">
        <f ca="1">OFFSET(INDEX(data!E:E,MATCH(B20,data!E:E,0)),-6,(H20-5)-(B22-1))</f>
        <v>46169</v>
      </c>
      <c r="C23" s="12" t="s">
        <v>10</v>
      </c>
      <c r="D23" s="10">
        <f ca="1">OFFSET(INDEX(data!E:E,MATCH(B20,data!E:E,0)),-2,(H20-5)-(B22-1))</f>
        <v>229.2</v>
      </c>
      <c r="E23" s="12" t="s">
        <v>13</v>
      </c>
      <c r="F23" s="10">
        <f ca="1">(D23-D22)/(6*_xlfn.STDEV.P(OFFSET(INDEX(data!E:E,MATCH(B20,data!E:E,0)),-1,(H20-5)-(B22-1),1,B22)))</f>
        <v>1.7252763749785354</v>
      </c>
      <c r="G23" s="34"/>
      <c r="H23" s="31"/>
      <c r="I23" s="5"/>
      <c r="J23" s="23" t="str">
        <f t="shared" ca="1" si="7"/>
        <v>PART01</v>
      </c>
      <c r="K23" s="23" t="str">
        <f t="shared" ca="1" si="7"/>
        <v>Upper Sub-Assembly</v>
      </c>
      <c r="L23" s="25" t="str">
        <f t="shared" si="7"/>
        <v>PART01_01R_X</v>
      </c>
      <c r="M23" s="25" t="str">
        <f ca="1">M22</f>
        <v>Pos X</v>
      </c>
      <c r="N23" s="24">
        <f t="shared" ca="1" si="6"/>
        <v>0.6977419354839185</v>
      </c>
      <c r="O23" s="24">
        <f t="shared" ca="1" si="6"/>
        <v>1.7252763749785354</v>
      </c>
      <c r="P23" s="24">
        <f t="shared" ca="1" si="6"/>
        <v>1.3240104826044681</v>
      </c>
    </row>
    <row r="24" spans="1:16" s="25" customFormat="1" ht="36.75" customHeight="1" thickBot="1" x14ac:dyDescent="0.3">
      <c r="A24" s="13" t="s">
        <v>7</v>
      </c>
      <c r="B24" s="9">
        <f ca="1">OFFSET(INDEX(data!E:E,MATCH(B20,data!E:E,0)),-6,H20-5)</f>
        <v>46186</v>
      </c>
      <c r="C24" s="13" t="s">
        <v>16</v>
      </c>
      <c r="D24" s="11">
        <f ca="1">OFFSET(INDEX(data!E:E,MATCH(B20,data!E:E,0)),-1,H20-5)</f>
        <v>226.98</v>
      </c>
      <c r="E24" s="13" t="s">
        <v>14</v>
      </c>
      <c r="F24" s="11">
        <f ca="1">MIN((D23-F21)/(3*_xlfn.STDEV.P(OFFSET(INDEX(data!E:E,MATCH(B20,data!E:E,0)),-1,(H20-5)-(B22-1),1,B22))),(F21-D22)/(3*_xlfn.STDEV.P(OFFSET(INDEX(data!E:E,MATCH(B20,data!E:E,0)),-1,(H20-5)-(B22-1),1,B22))))</f>
        <v>1.3240104826044681</v>
      </c>
      <c r="G24" s="35"/>
      <c r="H24" s="32"/>
      <c r="I24" s="5"/>
      <c r="J24" s="23" t="str">
        <f t="shared" ca="1" si="7"/>
        <v>PART01</v>
      </c>
      <c r="K24" s="23" t="str">
        <f t="shared" ca="1" si="7"/>
        <v>Upper Sub-Assembly</v>
      </c>
      <c r="L24" s="25" t="str">
        <f t="shared" si="7"/>
        <v>PART01_01R_X</v>
      </c>
      <c r="M24" s="25" t="str">
        <f ca="1">M23</f>
        <v>Pos X</v>
      </c>
      <c r="N24" s="24">
        <f t="shared" ca="1" si="6"/>
        <v>0.6977419354839185</v>
      </c>
      <c r="O24" s="24">
        <f t="shared" ca="1" si="6"/>
        <v>1.7252763749785354</v>
      </c>
      <c r="P24" s="24">
        <f t="shared" ca="1" si="6"/>
        <v>1.3240104826044681</v>
      </c>
    </row>
    <row r="25" spans="1:16" s="25" customFormat="1" ht="36.75" customHeight="1" thickBot="1" x14ac:dyDescent="0.3">
      <c r="A25" s="21" t="s">
        <v>3</v>
      </c>
      <c r="B25" s="6" t="s">
        <v>41</v>
      </c>
      <c r="C25" s="14" t="s">
        <v>15</v>
      </c>
      <c r="D25" s="28" t="str">
        <f ca="1">OFFSET(INDEX(data!E:E,MATCH(B25,data!E:E,0)),0,1)</f>
        <v>Upper Part Inboard RH Hole - Pos Y</v>
      </c>
      <c r="E25" s="28"/>
      <c r="F25" s="28"/>
      <c r="G25" s="29"/>
      <c r="H25" s="30">
        <f ca="1">OFFSET(INDEX(data!E:E,MATCH(B25,data!E:E,0)),0,3)</f>
        <v>62</v>
      </c>
      <c r="I25" s="5"/>
      <c r="J25" s="23" t="str">
        <f ca="1">OFFSET(INDEX(data!E:E,MATCH(B25,data!E:E,0)),0,-2)</f>
        <v>PART01</v>
      </c>
      <c r="K25" s="23" t="str">
        <f ca="1">OFFSET(INDEX(data!E:E,MATCH(B25,data!E:E,0)),0,-1)</f>
        <v>Upper Sub-Assembly</v>
      </c>
      <c r="L25" s="25" t="str">
        <f>B25</f>
        <v>PART01_01R_Y</v>
      </c>
      <c r="M25" s="25" t="str">
        <f ca="1">B26</f>
        <v>Pos Y</v>
      </c>
      <c r="N25" s="24">
        <f ca="1">F27</f>
        <v>1.4803225806451792</v>
      </c>
      <c r="O25" s="24">
        <f ca="1">F28</f>
        <v>1.4359881053410908</v>
      </c>
      <c r="P25" s="24">
        <f ca="1">F29</f>
        <v>0.72741289938298914</v>
      </c>
    </row>
    <row r="26" spans="1:16" s="25" customFormat="1" ht="36.75" customHeight="1" x14ac:dyDescent="0.25">
      <c r="A26" s="12" t="s">
        <v>4</v>
      </c>
      <c r="B26" s="7" t="str">
        <f ca="1">OFFSET(INDEX(data!E:E,MATCH(B25,data!E:E,0)),0,2)</f>
        <v>Pos Y</v>
      </c>
      <c r="C26" s="15" t="s">
        <v>8</v>
      </c>
      <c r="D26" s="17">
        <f ca="1">OFFSET(INDEX(data!E:E,MATCH(B25,data!E:E,0)),-4,(H25-5)-(B27-1))</f>
        <v>326</v>
      </c>
      <c r="E26" s="15" t="s">
        <v>11</v>
      </c>
      <c r="F26" s="17">
        <f ca="1">AVERAGE(OFFSET(INDEX(data!E:E,MATCH(B25,data!E:E,0)),-1,(H25-5)-(B27-1),1,B27))</f>
        <v>327.48032258064518</v>
      </c>
      <c r="G26" s="33"/>
      <c r="H26" s="31"/>
      <c r="I26" s="5"/>
      <c r="J26" s="23" t="str">
        <f ca="1">J25</f>
        <v>PART01</v>
      </c>
      <c r="K26" s="23" t="str">
        <f ca="1">K25</f>
        <v>Upper Sub-Assembly</v>
      </c>
      <c r="L26" s="25" t="str">
        <f>L25</f>
        <v>PART01_01R_Y</v>
      </c>
      <c r="M26" s="25" t="str">
        <f ca="1">M25</f>
        <v>Pos Y</v>
      </c>
      <c r="N26" s="24">
        <f t="shared" ref="N26:P29" ca="1" si="8">N25</f>
        <v>1.4803225806451792</v>
      </c>
      <c r="O26" s="24">
        <f t="shared" ca="1" si="8"/>
        <v>1.4359881053410908</v>
      </c>
      <c r="P26" s="24">
        <f t="shared" ca="1" si="8"/>
        <v>0.72741289938298914</v>
      </c>
    </row>
    <row r="27" spans="1:16" s="25" customFormat="1" ht="36.75" customHeight="1" x14ac:dyDescent="0.25">
      <c r="A27" s="12" t="s">
        <v>5</v>
      </c>
      <c r="B27" s="16">
        <f ca="1">H25</f>
        <v>62</v>
      </c>
      <c r="C27" s="12" t="s">
        <v>9</v>
      </c>
      <c r="D27" s="10">
        <f ca="1">OFFSET(INDEX(data!E:E,MATCH(B25,data!E:E,0)),-3,(H25-5)-(B27-1))</f>
        <v>323</v>
      </c>
      <c r="E27" s="12" t="s">
        <v>12</v>
      </c>
      <c r="F27" s="10">
        <f ca="1">F26-D26</f>
        <v>1.4803225806451792</v>
      </c>
      <c r="G27" s="34"/>
      <c r="H27" s="31"/>
      <c r="I27" s="5"/>
      <c r="J27" s="23" t="str">
        <f t="shared" ref="J27:L29" ca="1" si="9">J26</f>
        <v>PART01</v>
      </c>
      <c r="K27" s="23" t="str">
        <f t="shared" ca="1" si="9"/>
        <v>Upper Sub-Assembly</v>
      </c>
      <c r="L27" s="25" t="str">
        <f t="shared" si="9"/>
        <v>PART01_01R_Y</v>
      </c>
      <c r="M27" s="25" t="str">
        <f ca="1">M26</f>
        <v>Pos Y</v>
      </c>
      <c r="N27" s="24">
        <f t="shared" ca="1" si="8"/>
        <v>1.4803225806451792</v>
      </c>
      <c r="O27" s="24">
        <f t="shared" ca="1" si="8"/>
        <v>1.4359881053410908</v>
      </c>
      <c r="P27" s="24">
        <f t="shared" ca="1" si="8"/>
        <v>0.72741289938298914</v>
      </c>
    </row>
    <row r="28" spans="1:16" s="25" customFormat="1" ht="36.75" customHeight="1" x14ac:dyDescent="0.25">
      <c r="A28" s="12" t="s">
        <v>6</v>
      </c>
      <c r="B28" s="8">
        <f ca="1">OFFSET(INDEX(data!E:E,MATCH(B25,data!E:E,0)),-6,(H25-5)-(B27-1))</f>
        <v>46169</v>
      </c>
      <c r="C28" s="12" t="s">
        <v>10</v>
      </c>
      <c r="D28" s="10">
        <f ca="1">OFFSET(INDEX(data!E:E,MATCH(B25,data!E:E,0)),-2,(H25-5)-(B27-1))</f>
        <v>329</v>
      </c>
      <c r="E28" s="12" t="s">
        <v>13</v>
      </c>
      <c r="F28" s="10">
        <f ca="1">(D28-D27)/(6*_xlfn.STDEV.P(OFFSET(INDEX(data!E:E,MATCH(B25,data!E:E,0)),-1,(H25-5)-(B27-1),1,B27)))</f>
        <v>1.4359881053410908</v>
      </c>
      <c r="G28" s="34"/>
      <c r="H28" s="31"/>
      <c r="I28" s="5"/>
      <c r="J28" s="23" t="str">
        <f t="shared" ca="1" si="9"/>
        <v>PART01</v>
      </c>
      <c r="K28" s="23" t="str">
        <f t="shared" ca="1" si="9"/>
        <v>Upper Sub-Assembly</v>
      </c>
      <c r="L28" s="25" t="str">
        <f t="shared" si="9"/>
        <v>PART01_01R_Y</v>
      </c>
      <c r="M28" s="25" t="str">
        <f ca="1">M27</f>
        <v>Pos Y</v>
      </c>
      <c r="N28" s="24">
        <f t="shared" ca="1" si="8"/>
        <v>1.4803225806451792</v>
      </c>
      <c r="O28" s="24">
        <f t="shared" ca="1" si="8"/>
        <v>1.4359881053410908</v>
      </c>
      <c r="P28" s="24">
        <f t="shared" ca="1" si="8"/>
        <v>0.72741289938298914</v>
      </c>
    </row>
    <row r="29" spans="1:16" s="25" customFormat="1" ht="36.75" customHeight="1" thickBot="1" x14ac:dyDescent="0.3">
      <c r="A29" s="13" t="s">
        <v>7</v>
      </c>
      <c r="B29" s="9">
        <f ca="1">OFFSET(INDEX(data!E:E,MATCH(B25,data!E:E,0)),-6,H25-5)</f>
        <v>46186</v>
      </c>
      <c r="C29" s="13" t="s">
        <v>16</v>
      </c>
      <c r="D29" s="11">
        <f ca="1">OFFSET(INDEX(data!E:E,MATCH(B25,data!E:E,0)),-1,H25-5)</f>
        <v>326.93</v>
      </c>
      <c r="E29" s="13" t="s">
        <v>14</v>
      </c>
      <c r="F29" s="11">
        <f ca="1">MIN((D28-F26)/(3*_xlfn.STDEV.P(OFFSET(INDEX(data!E:E,MATCH(B25,data!E:E,0)),-1,(H25-5)-(B27-1),1,B27))),(F26-D27)/(3*_xlfn.STDEV.P(OFFSET(INDEX(data!E:E,MATCH(B25,data!E:E,0)),-1,(H25-5)-(B27-1),1,B27))))</f>
        <v>0.72741289938298914</v>
      </c>
      <c r="G29" s="35"/>
      <c r="H29" s="32"/>
      <c r="I29" s="5"/>
      <c r="J29" s="23" t="str">
        <f t="shared" ca="1" si="9"/>
        <v>PART01</v>
      </c>
      <c r="K29" s="23" t="str">
        <f t="shared" ca="1" si="9"/>
        <v>Upper Sub-Assembly</v>
      </c>
      <c r="L29" s="25" t="str">
        <f t="shared" si="9"/>
        <v>PART01_01R_Y</v>
      </c>
      <c r="M29" s="25" t="str">
        <f ca="1">M28</f>
        <v>Pos Y</v>
      </c>
      <c r="N29" s="24">
        <f t="shared" ca="1" si="8"/>
        <v>1.4803225806451792</v>
      </c>
      <c r="O29" s="24">
        <f t="shared" ca="1" si="8"/>
        <v>1.4359881053410908</v>
      </c>
      <c r="P29" s="24">
        <f t="shared" ca="1" si="8"/>
        <v>0.72741289938298914</v>
      </c>
    </row>
    <row r="30" spans="1:16" s="25" customFormat="1" ht="36.75" customHeight="1" thickBot="1" x14ac:dyDescent="0.3">
      <c r="A30" s="21" t="s">
        <v>3</v>
      </c>
      <c r="B30" s="6" t="s">
        <v>43</v>
      </c>
      <c r="C30" s="14" t="s">
        <v>15</v>
      </c>
      <c r="D30" s="28" t="str">
        <f ca="1">OFFSET(INDEX(data!E:E,MATCH(B30,data!E:E,0)),0,1)</f>
        <v>Upper Part Inboard RH Hole - Pos Z</v>
      </c>
      <c r="E30" s="28"/>
      <c r="F30" s="28"/>
      <c r="G30" s="29"/>
      <c r="H30" s="30">
        <f ca="1">OFFSET(INDEX(data!E:E,MATCH(B30,data!E:E,0)),0,3)</f>
        <v>62</v>
      </c>
      <c r="I30" s="5"/>
      <c r="J30" s="23" t="str">
        <f ca="1">OFFSET(INDEX(data!E:E,MATCH(B30,data!E:E,0)),0,-2)</f>
        <v>PART01</v>
      </c>
      <c r="K30" s="23" t="str">
        <f ca="1">OFFSET(INDEX(data!E:E,MATCH(B30,data!E:E,0)),0,-1)</f>
        <v>Upper Sub-Assembly</v>
      </c>
      <c r="L30" s="25" t="str">
        <f>B30</f>
        <v>PART01_01R_Z</v>
      </c>
      <c r="M30" s="25" t="str">
        <f ca="1">B31</f>
        <v>Pos Z</v>
      </c>
      <c r="N30" s="24">
        <f ca="1">F32</f>
        <v>-0.96548387096743227</v>
      </c>
      <c r="O30" s="24">
        <f ca="1">F33</f>
        <v>2.8898340263370264</v>
      </c>
      <c r="P30" s="24">
        <f ca="1">F34</f>
        <v>1.9598046456032685</v>
      </c>
    </row>
    <row r="31" spans="1:16" s="25" customFormat="1" ht="36.75" customHeight="1" x14ac:dyDescent="0.25">
      <c r="A31" s="12" t="s">
        <v>4</v>
      </c>
      <c r="B31" s="7" t="str">
        <f ca="1">OFFSET(INDEX(data!E:E,MATCH(B30,data!E:E,0)),0,2)</f>
        <v>Pos Z</v>
      </c>
      <c r="C31" s="15" t="s">
        <v>8</v>
      </c>
      <c r="D31" s="17">
        <f ca="1">OFFSET(INDEX(data!E:E,MATCH(B30,data!E:E,0)),-4,(H30-5)-(B32-1))</f>
        <v>990.2</v>
      </c>
      <c r="E31" s="15" t="s">
        <v>11</v>
      </c>
      <c r="F31" s="17">
        <f ca="1">AVERAGE(OFFSET(INDEX(data!E:E,MATCH(B30,data!E:E,0)),-1,(H30-5)-(B32-1),1,B32))</f>
        <v>989.23451612903261</v>
      </c>
      <c r="G31" s="33"/>
      <c r="H31" s="31"/>
      <c r="I31" s="5"/>
      <c r="J31" s="23" t="str">
        <f ca="1">J30</f>
        <v>PART01</v>
      </c>
      <c r="K31" s="23" t="str">
        <f ca="1">K30</f>
        <v>Upper Sub-Assembly</v>
      </c>
      <c r="L31" s="25" t="str">
        <f>L30</f>
        <v>PART01_01R_Z</v>
      </c>
      <c r="M31" s="25" t="str">
        <f ca="1">M30</f>
        <v>Pos Z</v>
      </c>
      <c r="N31" s="24">
        <f t="shared" ref="N31:P34" ca="1" si="10">N30</f>
        <v>-0.96548387096743227</v>
      </c>
      <c r="O31" s="24">
        <f t="shared" ca="1" si="10"/>
        <v>2.8898340263370264</v>
      </c>
      <c r="P31" s="24">
        <f t="shared" ca="1" si="10"/>
        <v>1.9598046456032685</v>
      </c>
    </row>
    <row r="32" spans="1:16" s="25" customFormat="1" ht="36.75" customHeight="1" x14ac:dyDescent="0.25">
      <c r="A32" s="12" t="s">
        <v>5</v>
      </c>
      <c r="B32" s="16">
        <f ca="1">H30</f>
        <v>62</v>
      </c>
      <c r="C32" s="12" t="s">
        <v>9</v>
      </c>
      <c r="D32" s="10">
        <f ca="1">OFFSET(INDEX(data!E:E,MATCH(B30,data!E:E,0)),-3,(H30-5)-(B32-1))</f>
        <v>987.2</v>
      </c>
      <c r="E32" s="12" t="s">
        <v>12</v>
      </c>
      <c r="F32" s="10">
        <f ca="1">F31-D31</f>
        <v>-0.96548387096743227</v>
      </c>
      <c r="G32" s="34"/>
      <c r="H32" s="31"/>
      <c r="I32" s="5"/>
      <c r="J32" s="23" t="str">
        <f t="shared" ref="J32:L34" ca="1" si="11">J31</f>
        <v>PART01</v>
      </c>
      <c r="K32" s="23" t="str">
        <f t="shared" ca="1" si="11"/>
        <v>Upper Sub-Assembly</v>
      </c>
      <c r="L32" s="25" t="str">
        <f t="shared" si="11"/>
        <v>PART01_01R_Z</v>
      </c>
      <c r="M32" s="25" t="str">
        <f ca="1">M31</f>
        <v>Pos Z</v>
      </c>
      <c r="N32" s="24">
        <f t="shared" ca="1" si="10"/>
        <v>-0.96548387096743227</v>
      </c>
      <c r="O32" s="24">
        <f t="shared" ca="1" si="10"/>
        <v>2.8898340263370264</v>
      </c>
      <c r="P32" s="24">
        <f t="shared" ca="1" si="10"/>
        <v>1.9598046456032685</v>
      </c>
    </row>
    <row r="33" spans="1:16" s="25" customFormat="1" ht="36.75" customHeight="1" x14ac:dyDescent="0.25">
      <c r="A33" s="12" t="s">
        <v>6</v>
      </c>
      <c r="B33" s="8">
        <f ca="1">OFFSET(INDEX(data!E:E,MATCH(B30,data!E:E,0)),-6,(H30-5)-(B32-1))</f>
        <v>46169</v>
      </c>
      <c r="C33" s="12" t="s">
        <v>10</v>
      </c>
      <c r="D33" s="10">
        <f ca="1">OFFSET(INDEX(data!E:E,MATCH(B30,data!E:E,0)),-2,(H30-5)-(B32-1))</f>
        <v>993.2</v>
      </c>
      <c r="E33" s="12" t="s">
        <v>13</v>
      </c>
      <c r="F33" s="10">
        <f ca="1">(D33-D32)/(6*_xlfn.STDEV.P(OFFSET(INDEX(data!E:E,MATCH(B30,data!E:E,0)),-1,(H30-5)-(B32-1),1,B32)))</f>
        <v>2.8898340263370264</v>
      </c>
      <c r="G33" s="34"/>
      <c r="H33" s="31"/>
      <c r="I33" s="5"/>
      <c r="J33" s="23" t="str">
        <f t="shared" ca="1" si="11"/>
        <v>PART01</v>
      </c>
      <c r="K33" s="23" t="str">
        <f t="shared" ca="1" si="11"/>
        <v>Upper Sub-Assembly</v>
      </c>
      <c r="L33" s="25" t="str">
        <f t="shared" si="11"/>
        <v>PART01_01R_Z</v>
      </c>
      <c r="M33" s="25" t="str">
        <f ca="1">M32</f>
        <v>Pos Z</v>
      </c>
      <c r="N33" s="24">
        <f t="shared" ca="1" si="10"/>
        <v>-0.96548387096743227</v>
      </c>
      <c r="O33" s="24">
        <f t="shared" ca="1" si="10"/>
        <v>2.8898340263370264</v>
      </c>
      <c r="P33" s="24">
        <f t="shared" ca="1" si="10"/>
        <v>1.9598046456032685</v>
      </c>
    </row>
    <row r="34" spans="1:16" s="25" customFormat="1" ht="36.75" customHeight="1" thickBot="1" x14ac:dyDescent="0.3">
      <c r="A34" s="13" t="s">
        <v>7</v>
      </c>
      <c r="B34" s="9">
        <f ca="1">OFFSET(INDEX(data!E:E,MATCH(B30,data!E:E,0)),-6,H30-5)</f>
        <v>46186</v>
      </c>
      <c r="C34" s="13" t="s">
        <v>16</v>
      </c>
      <c r="D34" s="11">
        <f ca="1">OFFSET(INDEX(data!E:E,MATCH(B30,data!E:E,0)),-1,H30-5)</f>
        <v>988.68</v>
      </c>
      <c r="E34" s="13" t="s">
        <v>14</v>
      </c>
      <c r="F34" s="11">
        <f ca="1">MIN((D33-F31)/(3*_xlfn.STDEV.P(OFFSET(INDEX(data!E:E,MATCH(B30,data!E:E,0)),-1,(H30-5)-(B32-1),1,B32))),(F31-D32)/(3*_xlfn.STDEV.P(OFFSET(INDEX(data!E:E,MATCH(B30,data!E:E,0)),-1,(H30-5)-(B32-1),1,B32))))</f>
        <v>1.9598046456032685</v>
      </c>
      <c r="G34" s="35"/>
      <c r="H34" s="32"/>
      <c r="I34" s="5"/>
      <c r="J34" s="23" t="str">
        <f t="shared" ca="1" si="11"/>
        <v>PART01</v>
      </c>
      <c r="K34" s="23" t="str">
        <f t="shared" ca="1" si="11"/>
        <v>Upper Sub-Assembly</v>
      </c>
      <c r="L34" s="25" t="str">
        <f t="shared" si="11"/>
        <v>PART01_01R_Z</v>
      </c>
      <c r="M34" s="25" t="str">
        <f ca="1">M33</f>
        <v>Pos Z</v>
      </c>
      <c r="N34" s="24">
        <f t="shared" ca="1" si="10"/>
        <v>-0.96548387096743227</v>
      </c>
      <c r="O34" s="24">
        <f t="shared" ca="1" si="10"/>
        <v>2.8898340263370264</v>
      </c>
      <c r="P34" s="24">
        <f t="shared" ca="1" si="10"/>
        <v>1.9598046456032685</v>
      </c>
    </row>
    <row r="35" spans="1:16" s="25" customFormat="1" ht="36.75" customHeight="1" thickBot="1" x14ac:dyDescent="0.3">
      <c r="A35" s="21" t="s">
        <v>3</v>
      </c>
      <c r="B35" s="6" t="s">
        <v>45</v>
      </c>
      <c r="C35" s="14" t="s">
        <v>15</v>
      </c>
      <c r="D35" s="28" t="str">
        <f ca="1">OFFSET(INDEX(data!E:E,MATCH(B35,data!E:E,0)),0,1)</f>
        <v>Upper Part Outboard RH Hole - Pos X</v>
      </c>
      <c r="E35" s="28"/>
      <c r="F35" s="28"/>
      <c r="G35" s="29"/>
      <c r="H35" s="30">
        <f ca="1">OFFSET(INDEX(data!E:E,MATCH(B35,data!E:E,0)),0,3)</f>
        <v>62</v>
      </c>
      <c r="I35" s="5"/>
      <c r="J35" s="23" t="str">
        <f ca="1">OFFSET(INDEX(data!E:E,MATCH(B35,data!E:E,0)),0,-2)</f>
        <v>PART01</v>
      </c>
      <c r="K35" s="23" t="str">
        <f ca="1">OFFSET(INDEX(data!E:E,MATCH(B35,data!E:E,0)),0,-1)</f>
        <v>Upper Sub-Assembly</v>
      </c>
      <c r="L35" s="25" t="str">
        <f>B35</f>
        <v>PART01_02R_X</v>
      </c>
      <c r="M35" s="25" t="str">
        <f ca="1">B36</f>
        <v>Pos X</v>
      </c>
      <c r="N35" s="24">
        <f ca="1">F37</f>
        <v>1.5417741935484344</v>
      </c>
      <c r="O35" s="24">
        <f ca="1">F38</f>
        <v>1.6963658585209953</v>
      </c>
      <c r="P35" s="24">
        <f ca="1">F39</f>
        <v>0.82456149069289364</v>
      </c>
    </row>
    <row r="36" spans="1:16" s="25" customFormat="1" ht="36.75" customHeight="1" x14ac:dyDescent="0.25">
      <c r="A36" s="12" t="s">
        <v>4</v>
      </c>
      <c r="B36" s="7" t="str">
        <f ca="1">OFFSET(INDEX(data!E:E,MATCH(B35,data!E:E,0)),0,2)</f>
        <v>Pos X</v>
      </c>
      <c r="C36" s="15" t="s">
        <v>8</v>
      </c>
      <c r="D36" s="17">
        <f ca="1">OFFSET(INDEX(data!E:E,MATCH(B35,data!E:E,0)),-4,(H35-5)-(B37-1))</f>
        <v>226.2</v>
      </c>
      <c r="E36" s="15" t="s">
        <v>11</v>
      </c>
      <c r="F36" s="17">
        <f ca="1">AVERAGE(OFFSET(INDEX(data!E:E,MATCH(B35,data!E:E,0)),-1,(H35-5)-(B37-1),1,B37))</f>
        <v>227.74177419354842</v>
      </c>
      <c r="G36" s="33"/>
      <c r="H36" s="31"/>
      <c r="I36" s="5"/>
      <c r="J36" s="23" t="str">
        <f ca="1">J35</f>
        <v>PART01</v>
      </c>
      <c r="K36" s="23" t="str">
        <f ca="1">K35</f>
        <v>Upper Sub-Assembly</v>
      </c>
      <c r="L36" s="25" t="str">
        <f>L35</f>
        <v>PART01_02R_X</v>
      </c>
      <c r="M36" s="25" t="str">
        <f ca="1">M35</f>
        <v>Pos X</v>
      </c>
      <c r="N36" s="24">
        <f t="shared" ref="N36:P39" ca="1" si="12">N35</f>
        <v>1.5417741935484344</v>
      </c>
      <c r="O36" s="24">
        <f t="shared" ca="1" si="12"/>
        <v>1.6963658585209953</v>
      </c>
      <c r="P36" s="24">
        <f t="shared" ca="1" si="12"/>
        <v>0.82456149069289364</v>
      </c>
    </row>
    <row r="37" spans="1:16" s="25" customFormat="1" ht="36.75" customHeight="1" x14ac:dyDescent="0.25">
      <c r="A37" s="12" t="s">
        <v>5</v>
      </c>
      <c r="B37" s="16">
        <f ca="1">H35</f>
        <v>62</v>
      </c>
      <c r="C37" s="12" t="s">
        <v>9</v>
      </c>
      <c r="D37" s="10">
        <f ca="1">OFFSET(INDEX(data!E:E,MATCH(B35,data!E:E,0)),-3,(H35-5)-(B37-1))</f>
        <v>223.2</v>
      </c>
      <c r="E37" s="12" t="s">
        <v>12</v>
      </c>
      <c r="F37" s="10">
        <f ca="1">F36-D36</f>
        <v>1.5417741935484344</v>
      </c>
      <c r="G37" s="34"/>
      <c r="H37" s="31"/>
      <c r="I37" s="5"/>
      <c r="J37" s="23" t="str">
        <f t="shared" ref="J37:L39" ca="1" si="13">J36</f>
        <v>PART01</v>
      </c>
      <c r="K37" s="23" t="str">
        <f t="shared" ca="1" si="13"/>
        <v>Upper Sub-Assembly</v>
      </c>
      <c r="L37" s="25" t="str">
        <f t="shared" si="13"/>
        <v>PART01_02R_X</v>
      </c>
      <c r="M37" s="25" t="str">
        <f ca="1">M36</f>
        <v>Pos X</v>
      </c>
      <c r="N37" s="24">
        <f t="shared" ca="1" si="12"/>
        <v>1.5417741935484344</v>
      </c>
      <c r="O37" s="24">
        <f t="shared" ca="1" si="12"/>
        <v>1.6963658585209953</v>
      </c>
      <c r="P37" s="24">
        <f t="shared" ca="1" si="12"/>
        <v>0.82456149069289364</v>
      </c>
    </row>
    <row r="38" spans="1:16" s="25" customFormat="1" ht="36.75" customHeight="1" x14ac:dyDescent="0.25">
      <c r="A38" s="12" t="s">
        <v>6</v>
      </c>
      <c r="B38" s="8">
        <f ca="1">OFFSET(INDEX(data!E:E,MATCH(B35,data!E:E,0)),-6,(H35-5)-(B37-1))</f>
        <v>46169</v>
      </c>
      <c r="C38" s="12" t="s">
        <v>10</v>
      </c>
      <c r="D38" s="10">
        <f ca="1">OFFSET(INDEX(data!E:E,MATCH(B35,data!E:E,0)),-2,(H35-5)-(B37-1))</f>
        <v>229.2</v>
      </c>
      <c r="E38" s="12" t="s">
        <v>13</v>
      </c>
      <c r="F38" s="10">
        <f ca="1">(D38-D37)/(6*_xlfn.STDEV.P(OFFSET(INDEX(data!E:E,MATCH(B35,data!E:E,0)),-1,(H35-5)-(B37-1),1,B37)))</f>
        <v>1.6963658585209953</v>
      </c>
      <c r="G38" s="34"/>
      <c r="H38" s="31"/>
      <c r="I38" s="5"/>
      <c r="J38" s="23" t="str">
        <f t="shared" ca="1" si="13"/>
        <v>PART01</v>
      </c>
      <c r="K38" s="23" t="str">
        <f t="shared" ca="1" si="13"/>
        <v>Upper Sub-Assembly</v>
      </c>
      <c r="L38" s="25" t="str">
        <f t="shared" si="13"/>
        <v>PART01_02R_X</v>
      </c>
      <c r="M38" s="25" t="str">
        <f ca="1">M37</f>
        <v>Pos X</v>
      </c>
      <c r="N38" s="24">
        <f t="shared" ca="1" si="12"/>
        <v>1.5417741935484344</v>
      </c>
      <c r="O38" s="24">
        <f t="shared" ca="1" si="12"/>
        <v>1.6963658585209953</v>
      </c>
      <c r="P38" s="24">
        <f t="shared" ca="1" si="12"/>
        <v>0.82456149069289364</v>
      </c>
    </row>
    <row r="39" spans="1:16" s="25" customFormat="1" ht="36.75" customHeight="1" thickBot="1" x14ac:dyDescent="0.3">
      <c r="A39" s="13" t="s">
        <v>7</v>
      </c>
      <c r="B39" s="9">
        <f ca="1">OFFSET(INDEX(data!E:E,MATCH(B35,data!E:E,0)),-6,H35-5)</f>
        <v>46186</v>
      </c>
      <c r="C39" s="13" t="s">
        <v>16</v>
      </c>
      <c r="D39" s="11">
        <f ca="1">OFFSET(INDEX(data!E:E,MATCH(B35,data!E:E,0)),-1,H35-5)</f>
        <v>227.77</v>
      </c>
      <c r="E39" s="13" t="s">
        <v>14</v>
      </c>
      <c r="F39" s="11">
        <f ca="1">MIN((D38-F36)/(3*_xlfn.STDEV.P(OFFSET(INDEX(data!E:E,MATCH(B35,data!E:E,0)),-1,(H35-5)-(B37-1),1,B37))),(F36-D37)/(3*_xlfn.STDEV.P(OFFSET(INDEX(data!E:E,MATCH(B35,data!E:E,0)),-1,(H35-5)-(B37-1),1,B37))))</f>
        <v>0.82456149069289364</v>
      </c>
      <c r="G39" s="35"/>
      <c r="H39" s="32"/>
      <c r="I39" s="5"/>
      <c r="J39" s="23" t="str">
        <f t="shared" ca="1" si="13"/>
        <v>PART01</v>
      </c>
      <c r="K39" s="23" t="str">
        <f t="shared" ca="1" si="13"/>
        <v>Upper Sub-Assembly</v>
      </c>
      <c r="L39" s="25" t="str">
        <f t="shared" si="13"/>
        <v>PART01_02R_X</v>
      </c>
      <c r="M39" s="25" t="str">
        <f ca="1">M38</f>
        <v>Pos X</v>
      </c>
      <c r="N39" s="24">
        <f t="shared" ca="1" si="12"/>
        <v>1.5417741935484344</v>
      </c>
      <c r="O39" s="24">
        <f t="shared" ca="1" si="12"/>
        <v>1.6963658585209953</v>
      </c>
      <c r="P39" s="24">
        <f t="shared" ca="1" si="12"/>
        <v>0.82456149069289364</v>
      </c>
    </row>
    <row r="40" spans="1:16" s="25" customFormat="1" ht="36.75" customHeight="1" thickBot="1" x14ac:dyDescent="0.3">
      <c r="A40" s="21" t="s">
        <v>3</v>
      </c>
      <c r="B40" s="6" t="s">
        <v>47</v>
      </c>
      <c r="C40" s="14" t="s">
        <v>15</v>
      </c>
      <c r="D40" s="28" t="str">
        <f ca="1">OFFSET(INDEX(data!E:E,MATCH(B40,data!E:E,0)),0,1)</f>
        <v>Upper Part Outboard RH Hole - Pos Y</v>
      </c>
      <c r="E40" s="28"/>
      <c r="F40" s="28"/>
      <c r="G40" s="29"/>
      <c r="H40" s="30">
        <f ca="1">OFFSET(INDEX(data!E:E,MATCH(B40,data!E:E,0)),0,3)</f>
        <v>62</v>
      </c>
      <c r="I40" s="5"/>
      <c r="J40" s="23" t="str">
        <f ca="1">OFFSET(INDEX(data!E:E,MATCH(B40,data!E:E,0)),0,-2)</f>
        <v>PART01</v>
      </c>
      <c r="K40" s="23" t="str">
        <f ca="1">OFFSET(INDEX(data!E:E,MATCH(B40,data!E:E,0)),0,-1)</f>
        <v>Upper Sub-Assembly</v>
      </c>
      <c r="L40" s="25" t="str">
        <f>B40</f>
        <v>PART01_02R_Y</v>
      </c>
      <c r="M40" s="25" t="str">
        <f ca="1">B41</f>
        <v>Pos Y</v>
      </c>
      <c r="N40" s="24">
        <f ca="1">F42</f>
        <v>0.6877419354838139</v>
      </c>
      <c r="O40" s="24">
        <f ca="1">F43</f>
        <v>1.3692066632988271</v>
      </c>
      <c r="P40" s="24">
        <f ca="1">F44</f>
        <v>1.0553197164006705</v>
      </c>
    </row>
    <row r="41" spans="1:16" s="25" customFormat="1" ht="36.75" customHeight="1" x14ac:dyDescent="0.25">
      <c r="A41" s="12" t="s">
        <v>4</v>
      </c>
      <c r="B41" s="7" t="str">
        <f ca="1">OFFSET(INDEX(data!E:E,MATCH(B40,data!E:E,0)),0,2)</f>
        <v>Pos Y</v>
      </c>
      <c r="C41" s="15" t="s">
        <v>8</v>
      </c>
      <c r="D41" s="17">
        <f ca="1">OFFSET(INDEX(data!E:E,MATCH(B40,data!E:E,0)),-4,(H40-5)-(B42-1))</f>
        <v>449</v>
      </c>
      <c r="E41" s="15" t="s">
        <v>11</v>
      </c>
      <c r="F41" s="17">
        <f ca="1">AVERAGE(OFFSET(INDEX(data!E:E,MATCH(B40,data!E:E,0)),-1,(H40-5)-(B42-1),1,B42))</f>
        <v>449.68774193548381</v>
      </c>
      <c r="G41" s="33"/>
      <c r="H41" s="31"/>
      <c r="I41" s="5"/>
      <c r="J41" s="23" t="str">
        <f ca="1">J40</f>
        <v>PART01</v>
      </c>
      <c r="K41" s="23" t="str">
        <f ca="1">K40</f>
        <v>Upper Sub-Assembly</v>
      </c>
      <c r="L41" s="25" t="str">
        <f>L40</f>
        <v>PART01_02R_Y</v>
      </c>
      <c r="M41" s="25" t="str">
        <f ca="1">M40</f>
        <v>Pos Y</v>
      </c>
      <c r="N41" s="24">
        <f t="shared" ref="N41:P44" ca="1" si="14">N40</f>
        <v>0.6877419354838139</v>
      </c>
      <c r="O41" s="24">
        <f t="shared" ca="1" si="14"/>
        <v>1.3692066632988271</v>
      </c>
      <c r="P41" s="24">
        <f t="shared" ca="1" si="14"/>
        <v>1.0553197164006705</v>
      </c>
    </row>
    <row r="42" spans="1:16" s="25" customFormat="1" ht="36.75" customHeight="1" x14ac:dyDescent="0.25">
      <c r="A42" s="12" t="s">
        <v>5</v>
      </c>
      <c r="B42" s="16">
        <f ca="1">H40</f>
        <v>62</v>
      </c>
      <c r="C42" s="12" t="s">
        <v>9</v>
      </c>
      <c r="D42" s="10">
        <f ca="1">OFFSET(INDEX(data!E:E,MATCH(B40,data!E:E,0)),-3,(H40-5)-(B42-1))</f>
        <v>446</v>
      </c>
      <c r="E42" s="12" t="s">
        <v>12</v>
      </c>
      <c r="F42" s="10">
        <f ca="1">F41-D41</f>
        <v>0.6877419354838139</v>
      </c>
      <c r="G42" s="34"/>
      <c r="H42" s="31"/>
      <c r="I42" s="5"/>
      <c r="J42" s="23" t="str">
        <f t="shared" ref="J42:L44" ca="1" si="15">J41</f>
        <v>PART01</v>
      </c>
      <c r="K42" s="23" t="str">
        <f t="shared" ca="1" si="15"/>
        <v>Upper Sub-Assembly</v>
      </c>
      <c r="L42" s="25" t="str">
        <f t="shared" si="15"/>
        <v>PART01_02R_Y</v>
      </c>
      <c r="M42" s="25" t="str">
        <f ca="1">M41</f>
        <v>Pos Y</v>
      </c>
      <c r="N42" s="24">
        <f t="shared" ca="1" si="14"/>
        <v>0.6877419354838139</v>
      </c>
      <c r="O42" s="24">
        <f t="shared" ca="1" si="14"/>
        <v>1.3692066632988271</v>
      </c>
      <c r="P42" s="24">
        <f t="shared" ca="1" si="14"/>
        <v>1.0553197164006705</v>
      </c>
    </row>
    <row r="43" spans="1:16" s="25" customFormat="1" ht="36.75" customHeight="1" x14ac:dyDescent="0.25">
      <c r="A43" s="12" t="s">
        <v>6</v>
      </c>
      <c r="B43" s="8">
        <f ca="1">OFFSET(INDEX(data!E:E,MATCH(B40,data!E:E,0)),-6,(H40-5)-(B42-1))</f>
        <v>46169</v>
      </c>
      <c r="C43" s="12" t="s">
        <v>10</v>
      </c>
      <c r="D43" s="10">
        <f ca="1">OFFSET(INDEX(data!E:E,MATCH(B40,data!E:E,0)),-2,(H40-5)-(B42-1))</f>
        <v>452</v>
      </c>
      <c r="E43" s="12" t="s">
        <v>13</v>
      </c>
      <c r="F43" s="10">
        <f ca="1">(D43-D42)/(6*_xlfn.STDEV.P(OFFSET(INDEX(data!E:E,MATCH(B40,data!E:E,0)),-1,(H40-5)-(B42-1),1,B42)))</f>
        <v>1.3692066632988271</v>
      </c>
      <c r="G43" s="34"/>
      <c r="H43" s="31"/>
      <c r="I43" s="5"/>
      <c r="J43" s="23" t="str">
        <f t="shared" ca="1" si="15"/>
        <v>PART01</v>
      </c>
      <c r="K43" s="23" t="str">
        <f t="shared" ca="1" si="15"/>
        <v>Upper Sub-Assembly</v>
      </c>
      <c r="L43" s="25" t="str">
        <f t="shared" si="15"/>
        <v>PART01_02R_Y</v>
      </c>
      <c r="M43" s="25" t="str">
        <f ca="1">M42</f>
        <v>Pos Y</v>
      </c>
      <c r="N43" s="24">
        <f t="shared" ca="1" si="14"/>
        <v>0.6877419354838139</v>
      </c>
      <c r="O43" s="24">
        <f t="shared" ca="1" si="14"/>
        <v>1.3692066632988271</v>
      </c>
      <c r="P43" s="24">
        <f t="shared" ca="1" si="14"/>
        <v>1.0553197164006705</v>
      </c>
    </row>
    <row r="44" spans="1:16" s="25" customFormat="1" ht="36.75" customHeight="1" thickBot="1" x14ac:dyDescent="0.3">
      <c r="A44" s="13" t="s">
        <v>7</v>
      </c>
      <c r="B44" s="9">
        <f ca="1">OFFSET(INDEX(data!E:E,MATCH(B40,data!E:E,0)),-6,H40-5)</f>
        <v>46186</v>
      </c>
      <c r="C44" s="13" t="s">
        <v>16</v>
      </c>
      <c r="D44" s="11">
        <f ca="1">OFFSET(INDEX(data!E:E,MATCH(B40,data!E:E,0)),-1,H40-5)</f>
        <v>448.84</v>
      </c>
      <c r="E44" s="13" t="s">
        <v>14</v>
      </c>
      <c r="F44" s="11">
        <f ca="1">MIN((D43-F41)/(3*_xlfn.STDEV.P(OFFSET(INDEX(data!E:E,MATCH(B40,data!E:E,0)),-1,(H40-5)-(B42-1),1,B42))),(F41-D42)/(3*_xlfn.STDEV.P(OFFSET(INDEX(data!E:E,MATCH(B40,data!E:E,0)),-1,(H40-5)-(B42-1),1,B42))))</f>
        <v>1.0553197164006705</v>
      </c>
      <c r="G44" s="35"/>
      <c r="H44" s="32"/>
      <c r="I44" s="5"/>
      <c r="J44" s="23" t="str">
        <f t="shared" ca="1" si="15"/>
        <v>PART01</v>
      </c>
      <c r="K44" s="23" t="str">
        <f t="shared" ca="1" si="15"/>
        <v>Upper Sub-Assembly</v>
      </c>
      <c r="L44" s="25" t="str">
        <f t="shared" si="15"/>
        <v>PART01_02R_Y</v>
      </c>
      <c r="M44" s="25" t="str">
        <f ca="1">M43</f>
        <v>Pos Y</v>
      </c>
      <c r="N44" s="24">
        <f t="shared" ca="1" si="14"/>
        <v>0.6877419354838139</v>
      </c>
      <c r="O44" s="24">
        <f t="shared" ca="1" si="14"/>
        <v>1.3692066632988271</v>
      </c>
      <c r="P44" s="24">
        <f t="shared" ca="1" si="14"/>
        <v>1.0553197164006705</v>
      </c>
    </row>
    <row r="45" spans="1:16" s="25" customFormat="1" ht="36.75" customHeight="1" thickBot="1" x14ac:dyDescent="0.3">
      <c r="A45" s="21" t="s">
        <v>3</v>
      </c>
      <c r="B45" s="6" t="s">
        <v>49</v>
      </c>
      <c r="C45" s="14" t="s">
        <v>15</v>
      </c>
      <c r="D45" s="28" t="str">
        <f ca="1">OFFSET(INDEX(data!E:E,MATCH(B45,data!E:E,0)),0,1)</f>
        <v>Upper Part Outboard RH Hole - Pos Z</v>
      </c>
      <c r="E45" s="28"/>
      <c r="F45" s="28"/>
      <c r="G45" s="29"/>
      <c r="H45" s="30">
        <f ca="1">OFFSET(INDEX(data!E:E,MATCH(B45,data!E:E,0)),0,3)</f>
        <v>62</v>
      </c>
      <c r="I45" s="5"/>
      <c r="J45" s="23" t="str">
        <f ca="1">OFFSET(INDEX(data!E:E,MATCH(B45,data!E:E,0)),0,-2)</f>
        <v>PART01</v>
      </c>
      <c r="K45" s="23" t="str">
        <f ca="1">OFFSET(INDEX(data!E:E,MATCH(B45,data!E:E,0)),0,-1)</f>
        <v>Upper Sub-Assembly</v>
      </c>
      <c r="L45" s="25" t="str">
        <f>B45</f>
        <v>PART01_02R_Z</v>
      </c>
      <c r="M45" s="25" t="str">
        <f ca="1">B46</f>
        <v>Pos Z</v>
      </c>
      <c r="N45" s="24">
        <f ca="1">F47</f>
        <v>-0.69419354838669278</v>
      </c>
      <c r="O45" s="24">
        <f ca="1">F48</f>
        <v>3.0504497955584857</v>
      </c>
      <c r="P45" s="24">
        <f ca="1">F49</f>
        <v>2.3445822729737502</v>
      </c>
    </row>
    <row r="46" spans="1:16" s="25" customFormat="1" ht="36.75" customHeight="1" x14ac:dyDescent="0.25">
      <c r="A46" s="12" t="s">
        <v>4</v>
      </c>
      <c r="B46" s="7" t="str">
        <f ca="1">OFFSET(INDEX(data!E:E,MATCH(B45,data!E:E,0)),0,2)</f>
        <v>Pos Z</v>
      </c>
      <c r="C46" s="15" t="s">
        <v>8</v>
      </c>
      <c r="D46" s="17">
        <f ca="1">OFFSET(INDEX(data!E:E,MATCH(B45,data!E:E,0)),-4,(H45-5)-(B47-1))</f>
        <v>1052.3</v>
      </c>
      <c r="E46" s="15" t="s">
        <v>11</v>
      </c>
      <c r="F46" s="17">
        <f ca="1">AVERAGE(OFFSET(INDEX(data!E:E,MATCH(B45,data!E:E,0)),-1,(H45-5)-(B47-1),1,B47))</f>
        <v>1051.6058064516133</v>
      </c>
      <c r="G46" s="33"/>
      <c r="H46" s="31"/>
      <c r="I46" s="5"/>
      <c r="J46" s="23" t="str">
        <f ca="1">J45</f>
        <v>PART01</v>
      </c>
      <c r="K46" s="23" t="str">
        <f ca="1">K45</f>
        <v>Upper Sub-Assembly</v>
      </c>
      <c r="L46" s="25" t="str">
        <f>L45</f>
        <v>PART01_02R_Z</v>
      </c>
      <c r="M46" s="25" t="str">
        <f ca="1">M45</f>
        <v>Pos Z</v>
      </c>
      <c r="N46" s="24">
        <f t="shared" ref="N46:P49" ca="1" si="16">N45</f>
        <v>-0.69419354838669278</v>
      </c>
      <c r="O46" s="24">
        <f t="shared" ca="1" si="16"/>
        <v>3.0504497955584857</v>
      </c>
      <c r="P46" s="24">
        <f t="shared" ca="1" si="16"/>
        <v>2.3445822729737502</v>
      </c>
    </row>
    <row r="47" spans="1:16" s="25" customFormat="1" ht="36.75" customHeight="1" x14ac:dyDescent="0.25">
      <c r="A47" s="12" t="s">
        <v>5</v>
      </c>
      <c r="B47" s="16">
        <f ca="1">H45</f>
        <v>62</v>
      </c>
      <c r="C47" s="12" t="s">
        <v>9</v>
      </c>
      <c r="D47" s="10">
        <f ca="1">OFFSET(INDEX(data!E:E,MATCH(B45,data!E:E,0)),-3,(H45-5)-(B47-1))</f>
        <v>1049.3</v>
      </c>
      <c r="E47" s="12" t="s">
        <v>12</v>
      </c>
      <c r="F47" s="10">
        <f ca="1">F46-D46</f>
        <v>-0.69419354838669278</v>
      </c>
      <c r="G47" s="34"/>
      <c r="H47" s="31"/>
      <c r="I47" s="5"/>
      <c r="J47" s="23" t="str">
        <f t="shared" ref="J47:L49" ca="1" si="17">J46</f>
        <v>PART01</v>
      </c>
      <c r="K47" s="23" t="str">
        <f t="shared" ca="1" si="17"/>
        <v>Upper Sub-Assembly</v>
      </c>
      <c r="L47" s="25" t="str">
        <f t="shared" si="17"/>
        <v>PART01_02R_Z</v>
      </c>
      <c r="M47" s="25" t="str">
        <f ca="1">M46</f>
        <v>Pos Z</v>
      </c>
      <c r="N47" s="24">
        <f t="shared" ca="1" si="16"/>
        <v>-0.69419354838669278</v>
      </c>
      <c r="O47" s="24">
        <f t="shared" ca="1" si="16"/>
        <v>3.0504497955584857</v>
      </c>
      <c r="P47" s="24">
        <f t="shared" ca="1" si="16"/>
        <v>2.3445822729737502</v>
      </c>
    </row>
    <row r="48" spans="1:16" s="25" customFormat="1" ht="36.75" customHeight="1" x14ac:dyDescent="0.25">
      <c r="A48" s="12" t="s">
        <v>6</v>
      </c>
      <c r="B48" s="8">
        <f ca="1">OFFSET(INDEX(data!E:E,MATCH(B45,data!E:E,0)),-6,(H45-5)-(B47-1))</f>
        <v>46169</v>
      </c>
      <c r="C48" s="12" t="s">
        <v>10</v>
      </c>
      <c r="D48" s="10">
        <f ca="1">OFFSET(INDEX(data!E:E,MATCH(B45,data!E:E,0)),-2,(H45-5)-(B47-1))</f>
        <v>1055.3</v>
      </c>
      <c r="E48" s="12" t="s">
        <v>13</v>
      </c>
      <c r="F48" s="10">
        <f ca="1">(D48-D47)/(6*_xlfn.STDEV.P(OFFSET(INDEX(data!E:E,MATCH(B45,data!E:E,0)),-1,(H45-5)-(B47-1),1,B47)))</f>
        <v>3.0504497955584857</v>
      </c>
      <c r="G48" s="34"/>
      <c r="H48" s="31"/>
      <c r="I48" s="5"/>
      <c r="J48" s="23" t="str">
        <f t="shared" ca="1" si="17"/>
        <v>PART01</v>
      </c>
      <c r="K48" s="23" t="str">
        <f t="shared" ca="1" si="17"/>
        <v>Upper Sub-Assembly</v>
      </c>
      <c r="L48" s="25" t="str">
        <f t="shared" si="17"/>
        <v>PART01_02R_Z</v>
      </c>
      <c r="M48" s="25" t="str">
        <f ca="1">M47</f>
        <v>Pos Z</v>
      </c>
      <c r="N48" s="24">
        <f t="shared" ca="1" si="16"/>
        <v>-0.69419354838669278</v>
      </c>
      <c r="O48" s="24">
        <f t="shared" ca="1" si="16"/>
        <v>3.0504497955584857</v>
      </c>
      <c r="P48" s="24">
        <f t="shared" ca="1" si="16"/>
        <v>2.3445822729737502</v>
      </c>
    </row>
    <row r="49" spans="1:16" s="25" customFormat="1" ht="36.75" customHeight="1" thickBot="1" x14ac:dyDescent="0.3">
      <c r="A49" s="13" t="s">
        <v>7</v>
      </c>
      <c r="B49" s="9">
        <f ca="1">OFFSET(INDEX(data!E:E,MATCH(B45,data!E:E,0)),-6,H45-5)</f>
        <v>46186</v>
      </c>
      <c r="C49" s="13" t="s">
        <v>16</v>
      </c>
      <c r="D49" s="11">
        <f ca="1">OFFSET(INDEX(data!E:E,MATCH(B45,data!E:E,0)),-1,H45-5)</f>
        <v>1051.68</v>
      </c>
      <c r="E49" s="13" t="s">
        <v>14</v>
      </c>
      <c r="F49" s="11">
        <f ca="1">MIN((D48-F46)/(3*_xlfn.STDEV.P(OFFSET(INDEX(data!E:E,MATCH(B45,data!E:E,0)),-1,(H45-5)-(B47-1),1,B47))),(F46-D47)/(3*_xlfn.STDEV.P(OFFSET(INDEX(data!E:E,MATCH(B45,data!E:E,0)),-1,(H45-5)-(B47-1),1,B47))))</f>
        <v>2.3445822729737502</v>
      </c>
      <c r="G49" s="35"/>
      <c r="H49" s="32"/>
      <c r="I49" s="5"/>
      <c r="J49" s="23" t="str">
        <f t="shared" ca="1" si="17"/>
        <v>PART01</v>
      </c>
      <c r="K49" s="23" t="str">
        <f t="shared" ca="1" si="17"/>
        <v>Upper Sub-Assembly</v>
      </c>
      <c r="L49" s="25" t="str">
        <f t="shared" si="17"/>
        <v>PART01_02R_Z</v>
      </c>
      <c r="M49" s="25" t="str">
        <f ca="1">M48</f>
        <v>Pos Z</v>
      </c>
      <c r="N49" s="24">
        <f t="shared" ca="1" si="16"/>
        <v>-0.69419354838669278</v>
      </c>
      <c r="O49" s="24">
        <f t="shared" ca="1" si="16"/>
        <v>3.0504497955584857</v>
      </c>
      <c r="P49" s="24">
        <f t="shared" ca="1" si="16"/>
        <v>2.3445822729737502</v>
      </c>
    </row>
    <row r="50" spans="1:16" s="25" customFormat="1" ht="36.75" customHeight="1" thickBot="1" x14ac:dyDescent="0.3">
      <c r="A50" s="21" t="s">
        <v>3</v>
      </c>
      <c r="B50" s="6" t="s">
        <v>51</v>
      </c>
      <c r="C50" s="14" t="s">
        <v>15</v>
      </c>
      <c r="D50" s="28" t="str">
        <f ca="1">OFFSET(INDEX(data!E:E,MATCH(B50,data!E:E,0)),0,1)</f>
        <v>Lower Part - Outboard vs Outboard Holes - W-Pitch</v>
      </c>
      <c r="E50" s="28"/>
      <c r="F50" s="28"/>
      <c r="G50" s="29"/>
      <c r="H50" s="30">
        <f ca="1">OFFSET(INDEX(data!E:E,MATCH(B50,data!E:E,0)),0,3)</f>
        <v>62</v>
      </c>
      <c r="I50" s="5"/>
      <c r="J50" s="23" t="str">
        <f ca="1">OFFSET(INDEX(data!E:E,MATCH(B50,data!E:E,0)),0,-2)</f>
        <v>PART01</v>
      </c>
      <c r="K50" s="23" t="str">
        <f ca="1">OFFSET(INDEX(data!E:E,MATCH(B50,data!E:E,0)),0,-1)</f>
        <v>Upper Sub-Assembly</v>
      </c>
      <c r="L50" s="25" t="str">
        <f>B50</f>
        <v>PART01_P1_Y</v>
      </c>
      <c r="M50" s="25" t="str">
        <f ca="1">B51</f>
        <v>Dist Y</v>
      </c>
      <c r="N50" s="24">
        <f ca="1">F52</f>
        <v>3.1867741935482172</v>
      </c>
      <c r="O50" s="24">
        <f ca="1">F53</f>
        <v>1.2132486986309188</v>
      </c>
      <c r="P50" s="24">
        <f ca="1">F54</f>
        <v>-7.5534515753404641E-2</v>
      </c>
    </row>
    <row r="51" spans="1:16" s="25" customFormat="1" ht="36.75" customHeight="1" x14ac:dyDescent="0.25">
      <c r="A51" s="12" t="s">
        <v>4</v>
      </c>
      <c r="B51" s="7" t="str">
        <f ca="1">OFFSET(INDEX(data!E:E,MATCH(B50,data!E:E,0)),0,2)</f>
        <v>Dist Y</v>
      </c>
      <c r="C51" s="15" t="s">
        <v>8</v>
      </c>
      <c r="D51" s="17">
        <f ca="1">OFFSET(INDEX(data!E:E,MATCH(B50,data!E:E,0)),-4,(H50-5)-(B52-1))</f>
        <v>652</v>
      </c>
      <c r="E51" s="15" t="s">
        <v>11</v>
      </c>
      <c r="F51" s="17">
        <f ca="1">AVERAGE(OFFSET(INDEX(data!E:E,MATCH(B50,data!E:E,0)),-1,(H50-5)-(B52-1),1,B52))</f>
        <v>655.18677419354822</v>
      </c>
      <c r="G51" s="33"/>
      <c r="H51" s="31"/>
      <c r="I51" s="5"/>
      <c r="J51" s="23" t="str">
        <f ca="1">J50</f>
        <v>PART01</v>
      </c>
      <c r="K51" s="23" t="str">
        <f ca="1">K50</f>
        <v>Upper Sub-Assembly</v>
      </c>
      <c r="L51" s="25" t="str">
        <f>L50</f>
        <v>PART01_P1_Y</v>
      </c>
      <c r="M51" s="25" t="str">
        <f ca="1">M50</f>
        <v>Dist Y</v>
      </c>
      <c r="N51" s="24">
        <f t="shared" ref="N51:P54" ca="1" si="18">N50</f>
        <v>3.1867741935482172</v>
      </c>
      <c r="O51" s="24">
        <f t="shared" ca="1" si="18"/>
        <v>1.2132486986309188</v>
      </c>
      <c r="P51" s="24">
        <f t="shared" ca="1" si="18"/>
        <v>-7.5534515753404641E-2</v>
      </c>
    </row>
    <row r="52" spans="1:16" s="25" customFormat="1" ht="36.75" customHeight="1" x14ac:dyDescent="0.25">
      <c r="A52" s="12" t="s">
        <v>5</v>
      </c>
      <c r="B52" s="16">
        <f ca="1">H50</f>
        <v>62</v>
      </c>
      <c r="C52" s="12" t="s">
        <v>9</v>
      </c>
      <c r="D52" s="10">
        <f ca="1">OFFSET(INDEX(data!E:E,MATCH(B50,data!E:E,0)),-3,(H50-5)-(B52-1))</f>
        <v>649</v>
      </c>
      <c r="E52" s="12" t="s">
        <v>12</v>
      </c>
      <c r="F52" s="10">
        <f ca="1">F51-D51</f>
        <v>3.1867741935482172</v>
      </c>
      <c r="G52" s="34"/>
      <c r="H52" s="31"/>
      <c r="I52" s="5"/>
      <c r="J52" s="23" t="str">
        <f t="shared" ref="J52:L54" ca="1" si="19">J51</f>
        <v>PART01</v>
      </c>
      <c r="K52" s="23" t="str">
        <f t="shared" ca="1" si="19"/>
        <v>Upper Sub-Assembly</v>
      </c>
      <c r="L52" s="25" t="str">
        <f t="shared" si="19"/>
        <v>PART01_P1_Y</v>
      </c>
      <c r="M52" s="25" t="str">
        <f ca="1">M51</f>
        <v>Dist Y</v>
      </c>
      <c r="N52" s="24">
        <f t="shared" ca="1" si="18"/>
        <v>3.1867741935482172</v>
      </c>
      <c r="O52" s="24">
        <f t="shared" ca="1" si="18"/>
        <v>1.2132486986309188</v>
      </c>
      <c r="P52" s="24">
        <f t="shared" ca="1" si="18"/>
        <v>-7.5534515753404641E-2</v>
      </c>
    </row>
    <row r="53" spans="1:16" s="25" customFormat="1" ht="36.75" customHeight="1" x14ac:dyDescent="0.25">
      <c r="A53" s="12" t="s">
        <v>6</v>
      </c>
      <c r="B53" s="8">
        <f ca="1">OFFSET(INDEX(data!E:E,MATCH(B50,data!E:E,0)),-6,(H50-5)-(B52-1))</f>
        <v>46169</v>
      </c>
      <c r="C53" s="12" t="s">
        <v>10</v>
      </c>
      <c r="D53" s="10">
        <f ca="1">OFFSET(INDEX(data!E:E,MATCH(B50,data!E:E,0)),-2,(H50-5)-(B52-1))</f>
        <v>655</v>
      </c>
      <c r="E53" s="12" t="s">
        <v>13</v>
      </c>
      <c r="F53" s="10">
        <f ca="1">(D53-D52)/(6*_xlfn.STDEV.P(OFFSET(INDEX(data!E:E,MATCH(B50,data!E:E,0)),-1,(H50-5)-(B52-1),1,B52)))</f>
        <v>1.2132486986309188</v>
      </c>
      <c r="G53" s="34"/>
      <c r="H53" s="31"/>
      <c r="I53" s="5"/>
      <c r="J53" s="23" t="str">
        <f t="shared" ca="1" si="19"/>
        <v>PART01</v>
      </c>
      <c r="K53" s="23" t="str">
        <f t="shared" ca="1" si="19"/>
        <v>Upper Sub-Assembly</v>
      </c>
      <c r="L53" s="25" t="str">
        <f t="shared" si="19"/>
        <v>PART01_P1_Y</v>
      </c>
      <c r="M53" s="25" t="str">
        <f ca="1">M52</f>
        <v>Dist Y</v>
      </c>
      <c r="N53" s="24">
        <f t="shared" ca="1" si="18"/>
        <v>3.1867741935482172</v>
      </c>
      <c r="O53" s="24">
        <f t="shared" ca="1" si="18"/>
        <v>1.2132486986309188</v>
      </c>
      <c r="P53" s="24">
        <f t="shared" ca="1" si="18"/>
        <v>-7.5534515753404641E-2</v>
      </c>
    </row>
    <row r="54" spans="1:16" s="25" customFormat="1" ht="36.75" customHeight="1" thickBot="1" x14ac:dyDescent="0.3">
      <c r="A54" s="13" t="s">
        <v>7</v>
      </c>
      <c r="B54" s="9">
        <f ca="1">OFFSET(INDEX(data!E:E,MATCH(B50,data!E:E,0)),-6,H50-5)</f>
        <v>46186</v>
      </c>
      <c r="C54" s="13" t="s">
        <v>16</v>
      </c>
      <c r="D54" s="11">
        <f ca="1">OFFSET(INDEX(data!E:E,MATCH(B50,data!E:E,0)),-1,H50-5)</f>
        <v>654.82000000000005</v>
      </c>
      <c r="E54" s="13" t="s">
        <v>14</v>
      </c>
      <c r="F54" s="11">
        <f ca="1">MIN((D53-F51)/(3*_xlfn.STDEV.P(OFFSET(INDEX(data!E:E,MATCH(B50,data!E:E,0)),-1,(H50-5)-(B52-1),1,B52))),(F51-D52)/(3*_xlfn.STDEV.P(OFFSET(INDEX(data!E:E,MATCH(B50,data!E:E,0)),-1,(H50-5)-(B52-1),1,B52))))</f>
        <v>-7.5534515753404641E-2</v>
      </c>
      <c r="G54" s="35"/>
      <c r="H54" s="32"/>
      <c r="I54" s="5"/>
      <c r="J54" s="23" t="str">
        <f t="shared" ca="1" si="19"/>
        <v>PART01</v>
      </c>
      <c r="K54" s="23" t="str">
        <f t="shared" ca="1" si="19"/>
        <v>Upper Sub-Assembly</v>
      </c>
      <c r="L54" s="25" t="str">
        <f t="shared" si="19"/>
        <v>PART01_P1_Y</v>
      </c>
      <c r="M54" s="25" t="str">
        <f ca="1">M53</f>
        <v>Dist Y</v>
      </c>
      <c r="N54" s="24">
        <f t="shared" ca="1" si="18"/>
        <v>3.1867741935482172</v>
      </c>
      <c r="O54" s="24">
        <f t="shared" ca="1" si="18"/>
        <v>1.2132486986309188</v>
      </c>
      <c r="P54" s="24">
        <f t="shared" ca="1" si="18"/>
        <v>-7.5534515753404641E-2</v>
      </c>
    </row>
    <row r="55" spans="1:16" s="25" customFormat="1" ht="36.75" customHeight="1" thickBot="1" x14ac:dyDescent="0.3">
      <c r="A55" s="21" t="s">
        <v>3</v>
      </c>
      <c r="B55" s="6" t="s">
        <v>55</v>
      </c>
      <c r="C55" s="14" t="s">
        <v>15</v>
      </c>
      <c r="D55" s="28" t="str">
        <f ca="1">OFFSET(INDEX(data!E:E,MATCH(B55,data!E:E,0)),0,1)</f>
        <v>Lower Part Inboard LH Hole - Pos X</v>
      </c>
      <c r="E55" s="28"/>
      <c r="F55" s="28"/>
      <c r="G55" s="29"/>
      <c r="H55" s="30">
        <f ca="1">OFFSET(INDEX(data!E:E,MATCH(B55,data!E:E,0)),0,3)</f>
        <v>62</v>
      </c>
      <c r="I55" s="5"/>
      <c r="J55" s="23" t="str">
        <f ca="1">OFFSET(INDEX(data!E:E,MATCH(B55,data!E:E,0)),0,-2)</f>
        <v>PART02</v>
      </c>
      <c r="K55" s="23" t="str">
        <f ca="1">OFFSET(INDEX(data!E:E,MATCH(B55,data!E:E,0)),0,-1)</f>
        <v>Lower Sub-Assembly</v>
      </c>
      <c r="L55" s="25" t="str">
        <f>B55</f>
        <v>PART02_01L_X</v>
      </c>
      <c r="M55" s="25" t="str">
        <f ca="1">B56</f>
        <v>Pos X</v>
      </c>
      <c r="N55" s="24">
        <f ca="1">F57</f>
        <v>0.17983870967731264</v>
      </c>
      <c r="O55" s="24">
        <f ca="1">F58</f>
        <v>1.6882372027598782</v>
      </c>
      <c r="P55" s="24">
        <f ca="1">F59</f>
        <v>1.6123346027164853</v>
      </c>
    </row>
    <row r="56" spans="1:16" s="25" customFormat="1" ht="36.75" customHeight="1" x14ac:dyDescent="0.25">
      <c r="A56" s="12" t="s">
        <v>4</v>
      </c>
      <c r="B56" s="7" t="str">
        <f ca="1">OFFSET(INDEX(data!E:E,MATCH(B55,data!E:E,0)),0,2)</f>
        <v>Pos X</v>
      </c>
      <c r="C56" s="15" t="s">
        <v>8</v>
      </c>
      <c r="D56" s="17">
        <f ca="1">OFFSET(INDEX(data!E:E,MATCH(B55,data!E:E,0)),-4,(H55-5)-(B57-1))</f>
        <v>420</v>
      </c>
      <c r="E56" s="15" t="s">
        <v>11</v>
      </c>
      <c r="F56" s="17">
        <f ca="1">AVERAGE(OFFSET(INDEX(data!E:E,MATCH(B55,data!E:E,0)),-1,(H55-5)-(B57-1),1,B57))</f>
        <v>420.17983870967731</v>
      </c>
      <c r="G56" s="33"/>
      <c r="H56" s="31"/>
      <c r="I56" s="5"/>
      <c r="J56" s="23" t="str">
        <f ca="1">J55</f>
        <v>PART02</v>
      </c>
      <c r="K56" s="23" t="str">
        <f ca="1">K55</f>
        <v>Lower Sub-Assembly</v>
      </c>
      <c r="L56" s="25" t="str">
        <f>L55</f>
        <v>PART02_01L_X</v>
      </c>
      <c r="M56" s="25" t="str">
        <f ca="1">M55</f>
        <v>Pos X</v>
      </c>
      <c r="N56" s="24">
        <f t="shared" ref="N56:P59" ca="1" si="20">N55</f>
        <v>0.17983870967731264</v>
      </c>
      <c r="O56" s="24">
        <f t="shared" ca="1" si="20"/>
        <v>1.6882372027598782</v>
      </c>
      <c r="P56" s="24">
        <f t="shared" ca="1" si="20"/>
        <v>1.6123346027164853</v>
      </c>
    </row>
    <row r="57" spans="1:16" s="25" customFormat="1" ht="36.75" customHeight="1" x14ac:dyDescent="0.25">
      <c r="A57" s="12" t="s">
        <v>5</v>
      </c>
      <c r="B57" s="16">
        <f ca="1">H55</f>
        <v>62</v>
      </c>
      <c r="C57" s="12" t="s">
        <v>9</v>
      </c>
      <c r="D57" s="10">
        <f ca="1">OFFSET(INDEX(data!E:E,MATCH(B55,data!E:E,0)),-3,(H55-5)-(B57-1))</f>
        <v>416</v>
      </c>
      <c r="E57" s="12" t="s">
        <v>12</v>
      </c>
      <c r="F57" s="10">
        <f ca="1">F56-D56</f>
        <v>0.17983870967731264</v>
      </c>
      <c r="G57" s="34"/>
      <c r="H57" s="31"/>
      <c r="I57" s="5"/>
      <c r="J57" s="23" t="str">
        <f t="shared" ref="J57:L59" ca="1" si="21">J56</f>
        <v>PART02</v>
      </c>
      <c r="K57" s="23" t="str">
        <f t="shared" ca="1" si="21"/>
        <v>Lower Sub-Assembly</v>
      </c>
      <c r="L57" s="25" t="str">
        <f t="shared" si="21"/>
        <v>PART02_01L_X</v>
      </c>
      <c r="M57" s="25" t="str">
        <f ca="1">M56</f>
        <v>Pos X</v>
      </c>
      <c r="N57" s="24">
        <f t="shared" ca="1" si="20"/>
        <v>0.17983870967731264</v>
      </c>
      <c r="O57" s="24">
        <f t="shared" ca="1" si="20"/>
        <v>1.6882372027598782</v>
      </c>
      <c r="P57" s="24">
        <f t="shared" ca="1" si="20"/>
        <v>1.6123346027164853</v>
      </c>
    </row>
    <row r="58" spans="1:16" s="25" customFormat="1" ht="36.75" customHeight="1" x14ac:dyDescent="0.25">
      <c r="A58" s="12" t="s">
        <v>6</v>
      </c>
      <c r="B58" s="8">
        <f ca="1">OFFSET(INDEX(data!E:E,MATCH(B55,data!E:E,0)),-6,(H55-5)-(B57-1))</f>
        <v>46169</v>
      </c>
      <c r="C58" s="12" t="s">
        <v>10</v>
      </c>
      <c r="D58" s="10">
        <f ca="1">OFFSET(INDEX(data!E:E,MATCH(B55,data!E:E,0)),-2,(H55-5)-(B57-1))</f>
        <v>424</v>
      </c>
      <c r="E58" s="12" t="s">
        <v>13</v>
      </c>
      <c r="F58" s="10">
        <f ca="1">(D58-D57)/(6*_xlfn.STDEV.P(OFFSET(INDEX(data!E:E,MATCH(B55,data!E:E,0)),-1,(H55-5)-(B57-1),1,B57)))</f>
        <v>1.6882372027598782</v>
      </c>
      <c r="G58" s="34"/>
      <c r="H58" s="31"/>
      <c r="I58" s="5"/>
      <c r="J58" s="23" t="str">
        <f t="shared" ca="1" si="21"/>
        <v>PART02</v>
      </c>
      <c r="K58" s="23" t="str">
        <f t="shared" ca="1" si="21"/>
        <v>Lower Sub-Assembly</v>
      </c>
      <c r="L58" s="25" t="str">
        <f t="shared" si="21"/>
        <v>PART02_01L_X</v>
      </c>
      <c r="M58" s="25" t="str">
        <f ca="1">M57</f>
        <v>Pos X</v>
      </c>
      <c r="N58" s="24">
        <f t="shared" ca="1" si="20"/>
        <v>0.17983870967731264</v>
      </c>
      <c r="O58" s="24">
        <f t="shared" ca="1" si="20"/>
        <v>1.6882372027598782</v>
      </c>
      <c r="P58" s="24">
        <f t="shared" ca="1" si="20"/>
        <v>1.6123346027164853</v>
      </c>
    </row>
    <row r="59" spans="1:16" s="25" customFormat="1" ht="36.75" customHeight="1" thickBot="1" x14ac:dyDescent="0.3">
      <c r="A59" s="13" t="s">
        <v>7</v>
      </c>
      <c r="B59" s="9">
        <f ca="1">OFFSET(INDEX(data!E:E,MATCH(B55,data!E:E,0)),-6,H55-5)</f>
        <v>46186</v>
      </c>
      <c r="C59" s="13" t="s">
        <v>16</v>
      </c>
      <c r="D59" s="11">
        <f ca="1">OFFSET(INDEX(data!E:E,MATCH(B55,data!E:E,0)),-1,H55-5)</f>
        <v>420.88</v>
      </c>
      <c r="E59" s="13" t="s">
        <v>14</v>
      </c>
      <c r="F59" s="11">
        <f ca="1">MIN((D58-F56)/(3*_xlfn.STDEV.P(OFFSET(INDEX(data!E:E,MATCH(B55,data!E:E,0)),-1,(H55-5)-(B57-1),1,B57))),(F56-D57)/(3*_xlfn.STDEV.P(OFFSET(INDEX(data!E:E,MATCH(B55,data!E:E,0)),-1,(H55-5)-(B57-1),1,B57))))</f>
        <v>1.6123346027164853</v>
      </c>
      <c r="G59" s="35"/>
      <c r="H59" s="32"/>
      <c r="I59" s="5"/>
      <c r="J59" s="23" t="str">
        <f t="shared" ca="1" si="21"/>
        <v>PART02</v>
      </c>
      <c r="K59" s="23" t="str">
        <f t="shared" ca="1" si="21"/>
        <v>Lower Sub-Assembly</v>
      </c>
      <c r="L59" s="25" t="str">
        <f t="shared" si="21"/>
        <v>PART02_01L_X</v>
      </c>
      <c r="M59" s="25" t="str">
        <f ca="1">M58</f>
        <v>Pos X</v>
      </c>
      <c r="N59" s="24">
        <f t="shared" ca="1" si="20"/>
        <v>0.17983870967731264</v>
      </c>
      <c r="O59" s="24">
        <f t="shared" ca="1" si="20"/>
        <v>1.6882372027598782</v>
      </c>
      <c r="P59" s="24">
        <f t="shared" ca="1" si="20"/>
        <v>1.6123346027164853</v>
      </c>
    </row>
    <row r="60" spans="1:16" s="25" customFormat="1" ht="36.75" customHeight="1" thickBot="1" x14ac:dyDescent="0.3">
      <c r="A60" s="21" t="s">
        <v>3</v>
      </c>
      <c r="B60" s="6" t="s">
        <v>57</v>
      </c>
      <c r="C60" s="14" t="s">
        <v>15</v>
      </c>
      <c r="D60" s="28" t="str">
        <f ca="1">OFFSET(INDEX(data!E:E,MATCH(B60,data!E:E,0)),0,1)</f>
        <v>Lower Part Inboard LH Hole - Pos Y</v>
      </c>
      <c r="E60" s="28"/>
      <c r="F60" s="28"/>
      <c r="G60" s="29"/>
      <c r="H60" s="30">
        <f ca="1">OFFSET(INDEX(data!E:E,MATCH(B60,data!E:E,0)),0,3)</f>
        <v>62</v>
      </c>
      <c r="I60" s="5"/>
      <c r="J60" s="23" t="str">
        <f ca="1">OFFSET(INDEX(data!E:E,MATCH(B60,data!E:E,0)),0,-2)</f>
        <v>PART02</v>
      </c>
      <c r="K60" s="23" t="str">
        <f ca="1">OFFSET(INDEX(data!E:E,MATCH(B60,data!E:E,0)),0,-1)</f>
        <v>Lower Sub-Assembly</v>
      </c>
      <c r="L60" s="25" t="str">
        <f>B60</f>
        <v>PART02_01L_Y</v>
      </c>
      <c r="M60" s="25" t="str">
        <f ca="1">B61</f>
        <v>Pos Y</v>
      </c>
      <c r="N60" s="24">
        <f ca="1">F62</f>
        <v>-1.110806451612973</v>
      </c>
      <c r="O60" s="24">
        <f ca="1">F63</f>
        <v>3.0337854103897968</v>
      </c>
      <c r="P60" s="24">
        <f ca="1">F64</f>
        <v>2.1912983087222226</v>
      </c>
    </row>
    <row r="61" spans="1:16" s="25" customFormat="1" ht="36.75" customHeight="1" x14ac:dyDescent="0.25">
      <c r="A61" s="12" t="s">
        <v>4</v>
      </c>
      <c r="B61" s="7" t="str">
        <f ca="1">OFFSET(INDEX(data!E:E,MATCH(B60,data!E:E,0)),0,2)</f>
        <v>Pos Y</v>
      </c>
      <c r="C61" s="15" t="s">
        <v>8</v>
      </c>
      <c r="D61" s="17">
        <f ca="1">OFFSET(INDEX(data!E:E,MATCH(B60,data!E:E,0)),-4,(H60-5)-(B62-1))</f>
        <v>-459.6</v>
      </c>
      <c r="E61" s="15" t="s">
        <v>11</v>
      </c>
      <c r="F61" s="17">
        <f ca="1">AVERAGE(OFFSET(INDEX(data!E:E,MATCH(B60,data!E:E,0)),-1,(H60-5)-(B62-1),1,B62))</f>
        <v>-460.710806451613</v>
      </c>
      <c r="G61" s="33"/>
      <c r="H61" s="31"/>
      <c r="I61" s="5"/>
      <c r="J61" s="23" t="str">
        <f ca="1">J60</f>
        <v>PART02</v>
      </c>
      <c r="K61" s="23" t="str">
        <f ca="1">K60</f>
        <v>Lower Sub-Assembly</v>
      </c>
      <c r="L61" s="25" t="str">
        <f>L60</f>
        <v>PART02_01L_Y</v>
      </c>
      <c r="M61" s="25" t="str">
        <f ca="1">M60</f>
        <v>Pos Y</v>
      </c>
      <c r="N61" s="24">
        <f t="shared" ref="N61:P64" ca="1" si="22">N60</f>
        <v>-1.110806451612973</v>
      </c>
      <c r="O61" s="24">
        <f t="shared" ca="1" si="22"/>
        <v>3.0337854103897968</v>
      </c>
      <c r="P61" s="24">
        <f t="shared" ca="1" si="22"/>
        <v>2.1912983087222226</v>
      </c>
    </row>
    <row r="62" spans="1:16" s="25" customFormat="1" ht="36.75" customHeight="1" x14ac:dyDescent="0.25">
      <c r="A62" s="12" t="s">
        <v>5</v>
      </c>
      <c r="B62" s="16">
        <f ca="1">H60</f>
        <v>62</v>
      </c>
      <c r="C62" s="12" t="s">
        <v>9</v>
      </c>
      <c r="D62" s="10">
        <f ca="1">OFFSET(INDEX(data!E:E,MATCH(B60,data!E:E,0)),-3,(H60-5)-(B62-1))</f>
        <v>-463.6</v>
      </c>
      <c r="E62" s="12" t="s">
        <v>12</v>
      </c>
      <c r="F62" s="10">
        <f ca="1">F61-D61</f>
        <v>-1.110806451612973</v>
      </c>
      <c r="G62" s="34"/>
      <c r="H62" s="31"/>
      <c r="I62" s="5"/>
      <c r="J62" s="23" t="str">
        <f t="shared" ref="J62:L64" ca="1" si="23">J61</f>
        <v>PART02</v>
      </c>
      <c r="K62" s="23" t="str">
        <f t="shared" ca="1" si="23"/>
        <v>Lower Sub-Assembly</v>
      </c>
      <c r="L62" s="25" t="str">
        <f t="shared" si="23"/>
        <v>PART02_01L_Y</v>
      </c>
      <c r="M62" s="25" t="str">
        <f ca="1">M61</f>
        <v>Pos Y</v>
      </c>
      <c r="N62" s="24">
        <f t="shared" ca="1" si="22"/>
        <v>-1.110806451612973</v>
      </c>
      <c r="O62" s="24">
        <f t="shared" ca="1" si="22"/>
        <v>3.0337854103897968</v>
      </c>
      <c r="P62" s="24">
        <f t="shared" ca="1" si="22"/>
        <v>2.1912983087222226</v>
      </c>
    </row>
    <row r="63" spans="1:16" s="25" customFormat="1" ht="36.75" customHeight="1" x14ac:dyDescent="0.25">
      <c r="A63" s="12" t="s">
        <v>6</v>
      </c>
      <c r="B63" s="8">
        <f ca="1">OFFSET(INDEX(data!E:E,MATCH(B60,data!E:E,0)),-6,(H60-5)-(B62-1))</f>
        <v>46169</v>
      </c>
      <c r="C63" s="12" t="s">
        <v>10</v>
      </c>
      <c r="D63" s="10">
        <f ca="1">OFFSET(INDEX(data!E:E,MATCH(B60,data!E:E,0)),-2,(H60-5)-(B62-1))</f>
        <v>-455.6</v>
      </c>
      <c r="E63" s="12" t="s">
        <v>13</v>
      </c>
      <c r="F63" s="10">
        <f ca="1">(D63-D62)/(6*_xlfn.STDEV.P(OFFSET(INDEX(data!E:E,MATCH(B60,data!E:E,0)),-1,(H60-5)-(B62-1),1,B62)))</f>
        <v>3.0337854103897968</v>
      </c>
      <c r="G63" s="34"/>
      <c r="H63" s="31"/>
      <c r="I63" s="5"/>
      <c r="J63" s="23" t="str">
        <f t="shared" ca="1" si="23"/>
        <v>PART02</v>
      </c>
      <c r="K63" s="23" t="str">
        <f t="shared" ca="1" si="23"/>
        <v>Lower Sub-Assembly</v>
      </c>
      <c r="L63" s="25" t="str">
        <f t="shared" si="23"/>
        <v>PART02_01L_Y</v>
      </c>
      <c r="M63" s="25" t="str">
        <f ca="1">M62</f>
        <v>Pos Y</v>
      </c>
      <c r="N63" s="24">
        <f t="shared" ca="1" si="22"/>
        <v>-1.110806451612973</v>
      </c>
      <c r="O63" s="24">
        <f t="shared" ca="1" si="22"/>
        <v>3.0337854103897968</v>
      </c>
      <c r="P63" s="24">
        <f t="shared" ca="1" si="22"/>
        <v>2.1912983087222226</v>
      </c>
    </row>
    <row r="64" spans="1:16" s="25" customFormat="1" ht="36.75" customHeight="1" thickBot="1" x14ac:dyDescent="0.3">
      <c r="A64" s="13" t="s">
        <v>7</v>
      </c>
      <c r="B64" s="9">
        <f ca="1">OFFSET(INDEX(data!E:E,MATCH(B60,data!E:E,0)),-6,H60-5)</f>
        <v>46186</v>
      </c>
      <c r="C64" s="13" t="s">
        <v>16</v>
      </c>
      <c r="D64" s="11">
        <f ca="1">OFFSET(INDEX(data!E:E,MATCH(B60,data!E:E,0)),-1,H60-5)</f>
        <v>-460.66</v>
      </c>
      <c r="E64" s="13" t="s">
        <v>14</v>
      </c>
      <c r="F64" s="11">
        <f ca="1">MIN((D63-F61)/(3*_xlfn.STDEV.P(OFFSET(INDEX(data!E:E,MATCH(B60,data!E:E,0)),-1,(H60-5)-(B62-1),1,B62))),(F61-D62)/(3*_xlfn.STDEV.P(OFFSET(INDEX(data!E:E,MATCH(B60,data!E:E,0)),-1,(H60-5)-(B62-1),1,B62))))</f>
        <v>2.1912983087222226</v>
      </c>
      <c r="G64" s="35"/>
      <c r="H64" s="32"/>
      <c r="I64" s="5"/>
      <c r="J64" s="23" t="str">
        <f t="shared" ca="1" si="23"/>
        <v>PART02</v>
      </c>
      <c r="K64" s="23" t="str">
        <f t="shared" ca="1" si="23"/>
        <v>Lower Sub-Assembly</v>
      </c>
      <c r="L64" s="25" t="str">
        <f t="shared" si="23"/>
        <v>PART02_01L_Y</v>
      </c>
      <c r="M64" s="25" t="str">
        <f ca="1">M63</f>
        <v>Pos Y</v>
      </c>
      <c r="N64" s="24">
        <f t="shared" ca="1" si="22"/>
        <v>-1.110806451612973</v>
      </c>
      <c r="O64" s="24">
        <f t="shared" ca="1" si="22"/>
        <v>3.0337854103897968</v>
      </c>
      <c r="P64" s="24">
        <f t="shared" ca="1" si="22"/>
        <v>2.1912983087222226</v>
      </c>
    </row>
    <row r="65" spans="1:16" s="25" customFormat="1" ht="36.75" customHeight="1" thickBot="1" x14ac:dyDescent="0.3">
      <c r="A65" s="21" t="s">
        <v>3</v>
      </c>
      <c r="B65" s="6" t="s">
        <v>59</v>
      </c>
      <c r="C65" s="14" t="s">
        <v>15</v>
      </c>
      <c r="D65" s="28" t="str">
        <f ca="1">OFFSET(INDEX(data!E:E,MATCH(B65,data!E:E,0)),0,1)</f>
        <v>Lower Part Inboard LH Hole - Pos Z</v>
      </c>
      <c r="E65" s="28"/>
      <c r="F65" s="28"/>
      <c r="G65" s="29"/>
      <c r="H65" s="30">
        <f ca="1">OFFSET(INDEX(data!E:E,MATCH(B65,data!E:E,0)),0,3)</f>
        <v>62</v>
      </c>
      <c r="I65" s="5"/>
      <c r="J65" s="23" t="str">
        <f ca="1">OFFSET(INDEX(data!E:E,MATCH(B65,data!E:E,0)),0,-2)</f>
        <v>PART02</v>
      </c>
      <c r="K65" s="23" t="str">
        <f ca="1">OFFSET(INDEX(data!E:E,MATCH(B65,data!E:E,0)),0,-1)</f>
        <v>Lower Sub-Assembly</v>
      </c>
      <c r="L65" s="25" t="str">
        <f>B65</f>
        <v>PART02_01L_Z</v>
      </c>
      <c r="M65" s="25" t="str">
        <f ca="1">B66</f>
        <v>Pos Z</v>
      </c>
      <c r="N65" s="24">
        <f ca="1">F67</f>
        <v>-2.3230645161288521</v>
      </c>
      <c r="O65" s="24">
        <f ca="1">F68</f>
        <v>6.0230710535658298</v>
      </c>
      <c r="P65" s="24">
        <f ca="1">F69</f>
        <v>2.5250753929004301</v>
      </c>
    </row>
    <row r="66" spans="1:16" s="25" customFormat="1" ht="36.75" customHeight="1" x14ac:dyDescent="0.25">
      <c r="A66" s="12" t="s">
        <v>4</v>
      </c>
      <c r="B66" s="7" t="str">
        <f ca="1">OFFSET(INDEX(data!E:E,MATCH(B65,data!E:E,0)),0,2)</f>
        <v>Pos Z</v>
      </c>
      <c r="C66" s="15" t="s">
        <v>8</v>
      </c>
      <c r="D66" s="17">
        <f ca="1">OFFSET(INDEX(data!E:E,MATCH(B65,data!E:E,0)),-4,(H65-5)-(B67-1))</f>
        <v>1071.4000000000001</v>
      </c>
      <c r="E66" s="15" t="s">
        <v>11</v>
      </c>
      <c r="F66" s="17">
        <f ca="1">AVERAGE(OFFSET(INDEX(data!E:E,MATCH(B65,data!E:E,0)),-1,(H65-5)-(B67-1),1,B67))</f>
        <v>1069.0769354838712</v>
      </c>
      <c r="G66" s="33"/>
      <c r="H66" s="31"/>
      <c r="I66" s="5"/>
      <c r="J66" s="23" t="str">
        <f ca="1">J65</f>
        <v>PART02</v>
      </c>
      <c r="K66" s="23" t="str">
        <f ca="1">K65</f>
        <v>Lower Sub-Assembly</v>
      </c>
      <c r="L66" s="25" t="str">
        <f>L65</f>
        <v>PART02_01L_Z</v>
      </c>
      <c r="M66" s="25" t="str">
        <f ca="1">M65</f>
        <v>Pos Z</v>
      </c>
      <c r="N66" s="24">
        <f t="shared" ref="N66:P69" ca="1" si="24">N65</f>
        <v>-2.3230645161288521</v>
      </c>
      <c r="O66" s="24">
        <f t="shared" ca="1" si="24"/>
        <v>6.0230710535658298</v>
      </c>
      <c r="P66" s="24">
        <f t="shared" ca="1" si="24"/>
        <v>2.5250753929004301</v>
      </c>
    </row>
    <row r="67" spans="1:16" s="25" customFormat="1" ht="36.75" customHeight="1" x14ac:dyDescent="0.25">
      <c r="A67" s="12" t="s">
        <v>5</v>
      </c>
      <c r="B67" s="16">
        <f ca="1">H65</f>
        <v>62</v>
      </c>
      <c r="C67" s="12" t="s">
        <v>9</v>
      </c>
      <c r="D67" s="10">
        <f ca="1">OFFSET(INDEX(data!E:E,MATCH(B65,data!E:E,0)),-3,(H65-5)-(B67-1))</f>
        <v>1067.4000000000001</v>
      </c>
      <c r="E67" s="12" t="s">
        <v>12</v>
      </c>
      <c r="F67" s="10">
        <f ca="1">F66-D66</f>
        <v>-2.3230645161288521</v>
      </c>
      <c r="G67" s="34"/>
      <c r="H67" s="31"/>
      <c r="I67" s="5"/>
      <c r="J67" s="23" t="str">
        <f t="shared" ref="J67:L69" ca="1" si="25">J66</f>
        <v>PART02</v>
      </c>
      <c r="K67" s="23" t="str">
        <f t="shared" ca="1" si="25"/>
        <v>Lower Sub-Assembly</v>
      </c>
      <c r="L67" s="25" t="str">
        <f t="shared" si="25"/>
        <v>PART02_01L_Z</v>
      </c>
      <c r="M67" s="25" t="str">
        <f ca="1">M66</f>
        <v>Pos Z</v>
      </c>
      <c r="N67" s="24">
        <f t="shared" ca="1" si="24"/>
        <v>-2.3230645161288521</v>
      </c>
      <c r="O67" s="24">
        <f t="shared" ca="1" si="24"/>
        <v>6.0230710535658298</v>
      </c>
      <c r="P67" s="24">
        <f t="shared" ca="1" si="24"/>
        <v>2.5250753929004301</v>
      </c>
    </row>
    <row r="68" spans="1:16" s="25" customFormat="1" ht="36.75" customHeight="1" x14ac:dyDescent="0.25">
      <c r="A68" s="12" t="s">
        <v>6</v>
      </c>
      <c r="B68" s="8">
        <f ca="1">OFFSET(INDEX(data!E:E,MATCH(B65,data!E:E,0)),-6,(H65-5)-(B67-1))</f>
        <v>46169</v>
      </c>
      <c r="C68" s="12" t="s">
        <v>10</v>
      </c>
      <c r="D68" s="10">
        <f ca="1">OFFSET(INDEX(data!E:E,MATCH(B65,data!E:E,0)),-2,(H65-5)-(B67-1))</f>
        <v>1075.4000000000001</v>
      </c>
      <c r="E68" s="12" t="s">
        <v>13</v>
      </c>
      <c r="F68" s="10">
        <f ca="1">(D68-D67)/(6*_xlfn.STDEV.P(OFFSET(INDEX(data!E:E,MATCH(B65,data!E:E,0)),-1,(H65-5)-(B67-1),1,B67)))</f>
        <v>6.0230710535658298</v>
      </c>
      <c r="G68" s="34"/>
      <c r="H68" s="31"/>
      <c r="I68" s="5"/>
      <c r="J68" s="23" t="str">
        <f t="shared" ca="1" si="25"/>
        <v>PART02</v>
      </c>
      <c r="K68" s="23" t="str">
        <f t="shared" ca="1" si="25"/>
        <v>Lower Sub-Assembly</v>
      </c>
      <c r="L68" s="25" t="str">
        <f t="shared" si="25"/>
        <v>PART02_01L_Z</v>
      </c>
      <c r="M68" s="25" t="str">
        <f ca="1">M67</f>
        <v>Pos Z</v>
      </c>
      <c r="N68" s="24">
        <f t="shared" ca="1" si="24"/>
        <v>-2.3230645161288521</v>
      </c>
      <c r="O68" s="24">
        <f t="shared" ca="1" si="24"/>
        <v>6.0230710535658298</v>
      </c>
      <c r="P68" s="24">
        <f t="shared" ca="1" si="24"/>
        <v>2.5250753929004301</v>
      </c>
    </row>
    <row r="69" spans="1:16" s="25" customFormat="1" ht="36.75" customHeight="1" thickBot="1" x14ac:dyDescent="0.3">
      <c r="A69" s="13" t="s">
        <v>7</v>
      </c>
      <c r="B69" s="9">
        <f ca="1">OFFSET(INDEX(data!E:E,MATCH(B65,data!E:E,0)),-6,H65-5)</f>
        <v>46186</v>
      </c>
      <c r="C69" s="13" t="s">
        <v>16</v>
      </c>
      <c r="D69" s="11">
        <f ca="1">OFFSET(INDEX(data!E:E,MATCH(B65,data!E:E,0)),-1,H65-5)</f>
        <v>1069.0899999999999</v>
      </c>
      <c r="E69" s="13" t="s">
        <v>14</v>
      </c>
      <c r="F69" s="11">
        <f ca="1">MIN((D68-F66)/(3*_xlfn.STDEV.P(OFFSET(INDEX(data!E:E,MATCH(B65,data!E:E,0)),-1,(H65-5)-(B67-1),1,B67))),(F66-D67)/(3*_xlfn.STDEV.P(OFFSET(INDEX(data!E:E,MATCH(B65,data!E:E,0)),-1,(H65-5)-(B67-1),1,B67))))</f>
        <v>2.5250753929004301</v>
      </c>
      <c r="G69" s="35"/>
      <c r="H69" s="32"/>
      <c r="I69" s="5"/>
      <c r="J69" s="23" t="str">
        <f t="shared" ca="1" si="25"/>
        <v>PART02</v>
      </c>
      <c r="K69" s="23" t="str">
        <f t="shared" ca="1" si="25"/>
        <v>Lower Sub-Assembly</v>
      </c>
      <c r="L69" s="25" t="str">
        <f t="shared" si="25"/>
        <v>PART02_01L_Z</v>
      </c>
      <c r="M69" s="25" t="str">
        <f ca="1">M68</f>
        <v>Pos Z</v>
      </c>
      <c r="N69" s="24">
        <f t="shared" ca="1" si="24"/>
        <v>-2.3230645161288521</v>
      </c>
      <c r="O69" s="24">
        <f t="shared" ca="1" si="24"/>
        <v>6.0230710535658298</v>
      </c>
      <c r="P69" s="24">
        <f t="shared" ca="1" si="24"/>
        <v>2.5250753929004301</v>
      </c>
    </row>
    <row r="70" spans="1:16" s="25" customFormat="1" ht="36.75" customHeight="1" thickBot="1" x14ac:dyDescent="0.3">
      <c r="A70" s="21" t="s">
        <v>3</v>
      </c>
      <c r="B70" s="6" t="s">
        <v>61</v>
      </c>
      <c r="C70" s="14" t="s">
        <v>15</v>
      </c>
      <c r="D70" s="28" t="str">
        <f ca="1">OFFSET(INDEX(data!E:E,MATCH(B70,data!E:E,0)),0,1)</f>
        <v>Lower Part Inboard RH Hole - Pos X</v>
      </c>
      <c r="E70" s="28"/>
      <c r="F70" s="28"/>
      <c r="G70" s="29"/>
      <c r="H70" s="30">
        <f ca="1">OFFSET(INDEX(data!E:E,MATCH(B70,data!E:E,0)),0,3)</f>
        <v>62</v>
      </c>
      <c r="I70" s="5"/>
      <c r="J70" s="23" t="str">
        <f ca="1">OFFSET(INDEX(data!E:E,MATCH(B70,data!E:E,0)),0,-2)</f>
        <v>PART02</v>
      </c>
      <c r="K70" s="23" t="str">
        <f ca="1">OFFSET(INDEX(data!E:E,MATCH(B70,data!E:E,0)),0,-1)</f>
        <v>Lower Sub-Assembly</v>
      </c>
      <c r="L70" s="25" t="str">
        <f>B70</f>
        <v>PART02_01R_X</v>
      </c>
      <c r="M70" s="25" t="str">
        <f ca="1">B71</f>
        <v>Pos X</v>
      </c>
      <c r="N70" s="24">
        <f ca="1">F72</f>
        <v>1.3067741935483355</v>
      </c>
      <c r="O70" s="24">
        <f ca="1">F73</f>
        <v>1.7603203252346229</v>
      </c>
      <c r="P70" s="24">
        <f ca="1">F74</f>
        <v>1.1852350318858185</v>
      </c>
    </row>
    <row r="71" spans="1:16" s="25" customFormat="1" ht="36.75" customHeight="1" x14ac:dyDescent="0.25">
      <c r="A71" s="12" t="s">
        <v>4</v>
      </c>
      <c r="B71" s="7" t="str">
        <f ca="1">OFFSET(INDEX(data!E:E,MATCH(B70,data!E:E,0)),0,2)</f>
        <v>Pos X</v>
      </c>
      <c r="C71" s="15" t="s">
        <v>8</v>
      </c>
      <c r="D71" s="17">
        <f ca="1">OFFSET(INDEX(data!E:E,MATCH(B70,data!E:E,0)),-4,(H70-5)-(B72-1))</f>
        <v>420</v>
      </c>
      <c r="E71" s="15" t="s">
        <v>11</v>
      </c>
      <c r="F71" s="17">
        <f ca="1">AVERAGE(OFFSET(INDEX(data!E:E,MATCH(B70,data!E:E,0)),-1,(H70-5)-(B72-1),1,B72))</f>
        <v>421.30677419354834</v>
      </c>
      <c r="G71" s="33"/>
      <c r="H71" s="31"/>
      <c r="I71" s="5"/>
      <c r="J71" s="23" t="str">
        <f ca="1">J70</f>
        <v>PART02</v>
      </c>
      <c r="K71" s="23" t="str">
        <f ca="1">K70</f>
        <v>Lower Sub-Assembly</v>
      </c>
      <c r="L71" s="25" t="str">
        <f>L70</f>
        <v>PART02_01R_X</v>
      </c>
      <c r="M71" s="25" t="str">
        <f ca="1">M70</f>
        <v>Pos X</v>
      </c>
      <c r="N71" s="24">
        <f t="shared" ref="N71:P74" ca="1" si="26">N70</f>
        <v>1.3067741935483355</v>
      </c>
      <c r="O71" s="24">
        <f t="shared" ca="1" si="26"/>
        <v>1.7603203252346229</v>
      </c>
      <c r="P71" s="24">
        <f t="shared" ca="1" si="26"/>
        <v>1.1852350318858185</v>
      </c>
    </row>
    <row r="72" spans="1:16" s="25" customFormat="1" ht="36.75" customHeight="1" x14ac:dyDescent="0.25">
      <c r="A72" s="12" t="s">
        <v>5</v>
      </c>
      <c r="B72" s="16">
        <f ca="1">H70</f>
        <v>62</v>
      </c>
      <c r="C72" s="12" t="s">
        <v>9</v>
      </c>
      <c r="D72" s="10">
        <f ca="1">OFFSET(INDEX(data!E:E,MATCH(B70,data!E:E,0)),-3,(H70-5)-(B72-1))</f>
        <v>416</v>
      </c>
      <c r="E72" s="12" t="s">
        <v>12</v>
      </c>
      <c r="F72" s="10">
        <f ca="1">F71-D71</f>
        <v>1.3067741935483355</v>
      </c>
      <c r="G72" s="34"/>
      <c r="H72" s="31"/>
      <c r="I72" s="5"/>
      <c r="J72" s="23" t="str">
        <f t="shared" ref="J72:L74" ca="1" si="27">J71</f>
        <v>PART02</v>
      </c>
      <c r="K72" s="23" t="str">
        <f t="shared" ca="1" si="27"/>
        <v>Lower Sub-Assembly</v>
      </c>
      <c r="L72" s="25" t="str">
        <f t="shared" si="27"/>
        <v>PART02_01R_X</v>
      </c>
      <c r="M72" s="25" t="str">
        <f ca="1">M71</f>
        <v>Pos X</v>
      </c>
      <c r="N72" s="24">
        <f t="shared" ca="1" si="26"/>
        <v>1.3067741935483355</v>
      </c>
      <c r="O72" s="24">
        <f t="shared" ca="1" si="26"/>
        <v>1.7603203252346229</v>
      </c>
      <c r="P72" s="24">
        <f t="shared" ca="1" si="26"/>
        <v>1.1852350318858185</v>
      </c>
    </row>
    <row r="73" spans="1:16" s="25" customFormat="1" ht="36.75" customHeight="1" x14ac:dyDescent="0.25">
      <c r="A73" s="12" t="s">
        <v>6</v>
      </c>
      <c r="B73" s="8">
        <f ca="1">OFFSET(INDEX(data!E:E,MATCH(B70,data!E:E,0)),-6,(H70-5)-(B72-1))</f>
        <v>46169</v>
      </c>
      <c r="C73" s="12" t="s">
        <v>10</v>
      </c>
      <c r="D73" s="10">
        <f ca="1">OFFSET(INDEX(data!E:E,MATCH(B70,data!E:E,0)),-2,(H70-5)-(B72-1))</f>
        <v>424</v>
      </c>
      <c r="E73" s="12" t="s">
        <v>13</v>
      </c>
      <c r="F73" s="10">
        <f ca="1">(D73-D72)/(6*_xlfn.STDEV.P(OFFSET(INDEX(data!E:E,MATCH(B70,data!E:E,0)),-1,(H70-5)-(B72-1),1,B72)))</f>
        <v>1.7603203252346229</v>
      </c>
      <c r="G73" s="34"/>
      <c r="H73" s="31"/>
      <c r="I73" s="5"/>
      <c r="J73" s="23" t="str">
        <f t="shared" ca="1" si="27"/>
        <v>PART02</v>
      </c>
      <c r="K73" s="23" t="str">
        <f t="shared" ca="1" si="27"/>
        <v>Lower Sub-Assembly</v>
      </c>
      <c r="L73" s="25" t="str">
        <f t="shared" si="27"/>
        <v>PART02_01R_X</v>
      </c>
      <c r="M73" s="25" t="str">
        <f ca="1">M72</f>
        <v>Pos X</v>
      </c>
      <c r="N73" s="24">
        <f t="shared" ca="1" si="26"/>
        <v>1.3067741935483355</v>
      </c>
      <c r="O73" s="24">
        <f t="shared" ca="1" si="26"/>
        <v>1.7603203252346229</v>
      </c>
      <c r="P73" s="24">
        <f t="shared" ca="1" si="26"/>
        <v>1.1852350318858185</v>
      </c>
    </row>
    <row r="74" spans="1:16" s="25" customFormat="1" ht="36.75" customHeight="1" thickBot="1" x14ac:dyDescent="0.3">
      <c r="A74" s="13" t="s">
        <v>7</v>
      </c>
      <c r="B74" s="9">
        <f ca="1">OFFSET(INDEX(data!E:E,MATCH(B70,data!E:E,0)),-6,H70-5)</f>
        <v>46186</v>
      </c>
      <c r="C74" s="13" t="s">
        <v>16</v>
      </c>
      <c r="D74" s="11">
        <f ca="1">OFFSET(INDEX(data!E:E,MATCH(B70,data!E:E,0)),-1,H70-5)</f>
        <v>421.46</v>
      </c>
      <c r="E74" s="13" t="s">
        <v>14</v>
      </c>
      <c r="F74" s="11">
        <f ca="1">MIN((D73-F71)/(3*_xlfn.STDEV.P(OFFSET(INDEX(data!E:E,MATCH(B70,data!E:E,0)),-1,(H70-5)-(B72-1),1,B72))),(F71-D72)/(3*_xlfn.STDEV.P(OFFSET(INDEX(data!E:E,MATCH(B70,data!E:E,0)),-1,(H70-5)-(B72-1),1,B72))))</f>
        <v>1.1852350318858185</v>
      </c>
      <c r="G74" s="35"/>
      <c r="H74" s="32"/>
      <c r="I74" s="5"/>
      <c r="J74" s="23" t="str">
        <f t="shared" ca="1" si="27"/>
        <v>PART02</v>
      </c>
      <c r="K74" s="23" t="str">
        <f t="shared" ca="1" si="27"/>
        <v>Lower Sub-Assembly</v>
      </c>
      <c r="L74" s="25" t="str">
        <f t="shared" si="27"/>
        <v>PART02_01R_X</v>
      </c>
      <c r="M74" s="25" t="str">
        <f ca="1">M73</f>
        <v>Pos X</v>
      </c>
      <c r="N74" s="24">
        <f t="shared" ca="1" si="26"/>
        <v>1.3067741935483355</v>
      </c>
      <c r="O74" s="24">
        <f t="shared" ca="1" si="26"/>
        <v>1.7603203252346229</v>
      </c>
      <c r="P74" s="24">
        <f t="shared" ca="1" si="26"/>
        <v>1.1852350318858185</v>
      </c>
    </row>
    <row r="75" spans="1:16" s="25" customFormat="1" ht="36.75" customHeight="1" thickBot="1" x14ac:dyDescent="0.3">
      <c r="A75" s="21" t="s">
        <v>3</v>
      </c>
      <c r="B75" s="6" t="s">
        <v>63</v>
      </c>
      <c r="C75" s="14" t="s">
        <v>15</v>
      </c>
      <c r="D75" s="28" t="str">
        <f ca="1">OFFSET(INDEX(data!E:E,MATCH(B75,data!E:E,0)),0,1)</f>
        <v>Lower Part Inboard RH Hole - Pos Y</v>
      </c>
      <c r="E75" s="28"/>
      <c r="F75" s="28"/>
      <c r="G75" s="29"/>
      <c r="H75" s="30">
        <f ca="1">OFFSET(INDEX(data!E:E,MATCH(B75,data!E:E,0)),0,3)</f>
        <v>62</v>
      </c>
      <c r="I75" s="5"/>
      <c r="J75" s="23" t="str">
        <f ca="1">OFFSET(INDEX(data!E:E,MATCH(B75,data!E:E,0)),0,-2)</f>
        <v>PART02</v>
      </c>
      <c r="K75" s="23" t="str">
        <f ca="1">OFFSET(INDEX(data!E:E,MATCH(B75,data!E:E,0)),0,-1)</f>
        <v>Lower Sub-Assembly</v>
      </c>
      <c r="L75" s="25" t="str">
        <f>B75</f>
        <v>PART02_01R_Y</v>
      </c>
      <c r="M75" s="25" t="str">
        <f ca="1">B76</f>
        <v>Pos Y</v>
      </c>
      <c r="N75" s="24">
        <f ca="1">F77</f>
        <v>0.16532258064512462</v>
      </c>
      <c r="O75" s="24">
        <f ca="1">F78</f>
        <v>2.8648636394439229</v>
      </c>
      <c r="P75" s="24">
        <f ca="1">F79</f>
        <v>2.7464569769266096</v>
      </c>
    </row>
    <row r="76" spans="1:16" s="25" customFormat="1" ht="36.75" customHeight="1" x14ac:dyDescent="0.25">
      <c r="A76" s="12" t="s">
        <v>4</v>
      </c>
      <c r="B76" s="7" t="str">
        <f ca="1">OFFSET(INDEX(data!E:E,MATCH(B75,data!E:E,0)),0,2)</f>
        <v>Pos Y</v>
      </c>
      <c r="C76" s="15" t="s">
        <v>8</v>
      </c>
      <c r="D76" s="17">
        <f ca="1">OFFSET(INDEX(data!E:E,MATCH(B75,data!E:E,0)),-4,(H75-5)-(B77-1))</f>
        <v>459.6</v>
      </c>
      <c r="E76" s="15" t="s">
        <v>11</v>
      </c>
      <c r="F76" s="17">
        <f ca="1">AVERAGE(OFFSET(INDEX(data!E:E,MATCH(B75,data!E:E,0)),-1,(H75-5)-(B77-1),1,B77))</f>
        <v>459.76532258064515</v>
      </c>
      <c r="G76" s="33"/>
      <c r="H76" s="31"/>
      <c r="I76" s="5"/>
      <c r="J76" s="23" t="str">
        <f ca="1">J75</f>
        <v>PART02</v>
      </c>
      <c r="K76" s="23" t="str">
        <f ca="1">K75</f>
        <v>Lower Sub-Assembly</v>
      </c>
      <c r="L76" s="25" t="str">
        <f>L75</f>
        <v>PART02_01R_Y</v>
      </c>
      <c r="M76" s="25" t="str">
        <f ca="1">M75</f>
        <v>Pos Y</v>
      </c>
      <c r="N76" s="24">
        <f t="shared" ref="N76:P79" ca="1" si="28">N75</f>
        <v>0.16532258064512462</v>
      </c>
      <c r="O76" s="24">
        <f t="shared" ca="1" si="28"/>
        <v>2.8648636394439229</v>
      </c>
      <c r="P76" s="24">
        <f t="shared" ca="1" si="28"/>
        <v>2.7464569769266096</v>
      </c>
    </row>
    <row r="77" spans="1:16" s="25" customFormat="1" ht="36.75" customHeight="1" x14ac:dyDescent="0.25">
      <c r="A77" s="12" t="s">
        <v>5</v>
      </c>
      <c r="B77" s="16">
        <f ca="1">H75</f>
        <v>62</v>
      </c>
      <c r="C77" s="12" t="s">
        <v>9</v>
      </c>
      <c r="D77" s="10">
        <f ca="1">OFFSET(INDEX(data!E:E,MATCH(B75,data!E:E,0)),-3,(H75-5)-(B77-1))</f>
        <v>455.6</v>
      </c>
      <c r="E77" s="12" t="s">
        <v>12</v>
      </c>
      <c r="F77" s="10">
        <f ca="1">F76-D76</f>
        <v>0.16532258064512462</v>
      </c>
      <c r="G77" s="34"/>
      <c r="H77" s="31"/>
      <c r="I77" s="5"/>
      <c r="J77" s="23" t="str">
        <f t="shared" ref="J77:L79" ca="1" si="29">J76</f>
        <v>PART02</v>
      </c>
      <c r="K77" s="23" t="str">
        <f t="shared" ca="1" si="29"/>
        <v>Lower Sub-Assembly</v>
      </c>
      <c r="L77" s="25" t="str">
        <f t="shared" si="29"/>
        <v>PART02_01R_Y</v>
      </c>
      <c r="M77" s="25" t="str">
        <f ca="1">M76</f>
        <v>Pos Y</v>
      </c>
      <c r="N77" s="24">
        <f t="shared" ca="1" si="28"/>
        <v>0.16532258064512462</v>
      </c>
      <c r="O77" s="24">
        <f t="shared" ca="1" si="28"/>
        <v>2.8648636394439229</v>
      </c>
      <c r="P77" s="24">
        <f t="shared" ca="1" si="28"/>
        <v>2.7464569769266096</v>
      </c>
    </row>
    <row r="78" spans="1:16" s="25" customFormat="1" ht="36.75" customHeight="1" x14ac:dyDescent="0.25">
      <c r="A78" s="12" t="s">
        <v>6</v>
      </c>
      <c r="B78" s="8">
        <f ca="1">OFFSET(INDEX(data!E:E,MATCH(B75,data!E:E,0)),-6,(H75-5)-(B77-1))</f>
        <v>46169</v>
      </c>
      <c r="C78" s="12" t="s">
        <v>10</v>
      </c>
      <c r="D78" s="10">
        <f ca="1">OFFSET(INDEX(data!E:E,MATCH(B75,data!E:E,0)),-2,(H75-5)-(B77-1))</f>
        <v>463.6</v>
      </c>
      <c r="E78" s="12" t="s">
        <v>13</v>
      </c>
      <c r="F78" s="10">
        <f ca="1">(D78-D77)/(6*_xlfn.STDEV.P(OFFSET(INDEX(data!E:E,MATCH(B75,data!E:E,0)),-1,(H75-5)-(B77-1),1,B77)))</f>
        <v>2.8648636394439229</v>
      </c>
      <c r="G78" s="34"/>
      <c r="H78" s="31"/>
      <c r="I78" s="5"/>
      <c r="J78" s="23" t="str">
        <f t="shared" ca="1" si="29"/>
        <v>PART02</v>
      </c>
      <c r="K78" s="23" t="str">
        <f t="shared" ca="1" si="29"/>
        <v>Lower Sub-Assembly</v>
      </c>
      <c r="L78" s="25" t="str">
        <f t="shared" si="29"/>
        <v>PART02_01R_Y</v>
      </c>
      <c r="M78" s="25" t="str">
        <f ca="1">M77</f>
        <v>Pos Y</v>
      </c>
      <c r="N78" s="24">
        <f t="shared" ca="1" si="28"/>
        <v>0.16532258064512462</v>
      </c>
      <c r="O78" s="24">
        <f t="shared" ca="1" si="28"/>
        <v>2.8648636394439229</v>
      </c>
      <c r="P78" s="24">
        <f t="shared" ca="1" si="28"/>
        <v>2.7464569769266096</v>
      </c>
    </row>
    <row r="79" spans="1:16" s="25" customFormat="1" ht="36.75" customHeight="1" thickBot="1" x14ac:dyDescent="0.3">
      <c r="A79" s="13" t="s">
        <v>7</v>
      </c>
      <c r="B79" s="9">
        <f ca="1">OFFSET(INDEX(data!E:E,MATCH(B75,data!E:E,0)),-6,H75-5)</f>
        <v>46186</v>
      </c>
      <c r="C79" s="13" t="s">
        <v>16</v>
      </c>
      <c r="D79" s="11">
        <f ca="1">OFFSET(INDEX(data!E:E,MATCH(B75,data!E:E,0)),-1,H75-5)</f>
        <v>459.19</v>
      </c>
      <c r="E79" s="13" t="s">
        <v>14</v>
      </c>
      <c r="F79" s="11">
        <f ca="1">MIN((D78-F76)/(3*_xlfn.STDEV.P(OFFSET(INDEX(data!E:E,MATCH(B75,data!E:E,0)),-1,(H75-5)-(B77-1),1,B77))),(F76-D77)/(3*_xlfn.STDEV.P(OFFSET(INDEX(data!E:E,MATCH(B75,data!E:E,0)),-1,(H75-5)-(B77-1),1,B77))))</f>
        <v>2.7464569769266096</v>
      </c>
      <c r="G79" s="35"/>
      <c r="H79" s="32"/>
      <c r="I79" s="5"/>
      <c r="J79" s="23" t="str">
        <f t="shared" ca="1" si="29"/>
        <v>PART02</v>
      </c>
      <c r="K79" s="23" t="str">
        <f t="shared" ca="1" si="29"/>
        <v>Lower Sub-Assembly</v>
      </c>
      <c r="L79" s="25" t="str">
        <f t="shared" si="29"/>
        <v>PART02_01R_Y</v>
      </c>
      <c r="M79" s="25" t="str">
        <f ca="1">M78</f>
        <v>Pos Y</v>
      </c>
      <c r="N79" s="24">
        <f t="shared" ca="1" si="28"/>
        <v>0.16532258064512462</v>
      </c>
      <c r="O79" s="24">
        <f t="shared" ca="1" si="28"/>
        <v>2.8648636394439229</v>
      </c>
      <c r="P79" s="24">
        <f t="shared" ca="1" si="28"/>
        <v>2.7464569769266096</v>
      </c>
    </row>
    <row r="80" spans="1:16" s="25" customFormat="1" ht="36.75" customHeight="1" thickBot="1" x14ac:dyDescent="0.3">
      <c r="A80" s="21" t="s">
        <v>3</v>
      </c>
      <c r="B80" s="6" t="s">
        <v>65</v>
      </c>
      <c r="C80" s="14" t="s">
        <v>15</v>
      </c>
      <c r="D80" s="28" t="str">
        <f ca="1">OFFSET(INDEX(data!E:E,MATCH(B80,data!E:E,0)),0,1)</f>
        <v>Lower Part Inboard RH Hole - Pos Z</v>
      </c>
      <c r="E80" s="28"/>
      <c r="F80" s="28"/>
      <c r="G80" s="29"/>
      <c r="H80" s="30">
        <f ca="1">OFFSET(INDEX(data!E:E,MATCH(B80,data!E:E,0)),0,3)</f>
        <v>62</v>
      </c>
      <c r="I80" s="5"/>
      <c r="J80" s="23" t="str">
        <f ca="1">OFFSET(INDEX(data!E:E,MATCH(B80,data!E:E,0)),0,-2)</f>
        <v>PART02</v>
      </c>
      <c r="K80" s="23" t="str">
        <f ca="1">OFFSET(INDEX(data!E:E,MATCH(B80,data!E:E,0)),0,-1)</f>
        <v>Lower Sub-Assembly</v>
      </c>
      <c r="L80" s="25" t="str">
        <f>B80</f>
        <v>PART02_01R_Z</v>
      </c>
      <c r="M80" s="25" t="str">
        <f ca="1">B81</f>
        <v>Pos Z</v>
      </c>
      <c r="N80" s="24">
        <f ca="1">F82</f>
        <v>-0.9635483870963526</v>
      </c>
      <c r="O80" s="24">
        <f ca="1">F83</f>
        <v>3.5440161533297885</v>
      </c>
      <c r="P80" s="24">
        <f ca="1">F84</f>
        <v>2.690308391233704</v>
      </c>
    </row>
    <row r="81" spans="1:16" s="25" customFormat="1" ht="36.75" customHeight="1" x14ac:dyDescent="0.25">
      <c r="A81" s="12" t="s">
        <v>4</v>
      </c>
      <c r="B81" s="7" t="str">
        <f ca="1">OFFSET(INDEX(data!E:E,MATCH(B80,data!E:E,0)),0,2)</f>
        <v>Pos Z</v>
      </c>
      <c r="C81" s="15" t="s">
        <v>8</v>
      </c>
      <c r="D81" s="17">
        <f ca="1">OFFSET(INDEX(data!E:E,MATCH(B80,data!E:E,0)),-4,(H80-5)-(B82-1))</f>
        <v>1071.4000000000001</v>
      </c>
      <c r="E81" s="15" t="s">
        <v>11</v>
      </c>
      <c r="F81" s="17">
        <f ca="1">AVERAGE(OFFSET(INDEX(data!E:E,MATCH(B80,data!E:E,0)),-1,(H80-5)-(B82-1),1,B82))</f>
        <v>1070.4364516129037</v>
      </c>
      <c r="G81" s="33"/>
      <c r="H81" s="31"/>
      <c r="I81" s="5"/>
      <c r="J81" s="23" t="str">
        <f ca="1">J80</f>
        <v>PART02</v>
      </c>
      <c r="K81" s="23" t="str">
        <f ca="1">K80</f>
        <v>Lower Sub-Assembly</v>
      </c>
      <c r="L81" s="25" t="str">
        <f>L80</f>
        <v>PART02_01R_Z</v>
      </c>
      <c r="M81" s="25" t="str">
        <f ca="1">M80</f>
        <v>Pos Z</v>
      </c>
      <c r="N81" s="24">
        <f t="shared" ref="N81:P84" ca="1" si="30">N80</f>
        <v>-0.9635483870963526</v>
      </c>
      <c r="O81" s="24">
        <f t="shared" ca="1" si="30"/>
        <v>3.5440161533297885</v>
      </c>
      <c r="P81" s="24">
        <f t="shared" ca="1" si="30"/>
        <v>2.690308391233704</v>
      </c>
    </row>
    <row r="82" spans="1:16" s="25" customFormat="1" ht="36.75" customHeight="1" x14ac:dyDescent="0.25">
      <c r="A82" s="12" t="s">
        <v>5</v>
      </c>
      <c r="B82" s="16">
        <f ca="1">H80</f>
        <v>62</v>
      </c>
      <c r="C82" s="12" t="s">
        <v>9</v>
      </c>
      <c r="D82" s="10">
        <f ca="1">OFFSET(INDEX(data!E:E,MATCH(B80,data!E:E,0)),-3,(H80-5)-(B82-1))</f>
        <v>1067.4000000000001</v>
      </c>
      <c r="E82" s="12" t="s">
        <v>12</v>
      </c>
      <c r="F82" s="10">
        <f ca="1">F81-D81</f>
        <v>-0.9635483870963526</v>
      </c>
      <c r="G82" s="34"/>
      <c r="H82" s="31"/>
      <c r="I82" s="5"/>
      <c r="J82" s="23" t="str">
        <f t="shared" ref="J82:L84" ca="1" si="31">J81</f>
        <v>PART02</v>
      </c>
      <c r="K82" s="23" t="str">
        <f t="shared" ca="1" si="31"/>
        <v>Lower Sub-Assembly</v>
      </c>
      <c r="L82" s="25" t="str">
        <f t="shared" si="31"/>
        <v>PART02_01R_Z</v>
      </c>
      <c r="M82" s="25" t="str">
        <f ca="1">M81</f>
        <v>Pos Z</v>
      </c>
      <c r="N82" s="24">
        <f t="shared" ca="1" si="30"/>
        <v>-0.9635483870963526</v>
      </c>
      <c r="O82" s="24">
        <f t="shared" ca="1" si="30"/>
        <v>3.5440161533297885</v>
      </c>
      <c r="P82" s="24">
        <f t="shared" ca="1" si="30"/>
        <v>2.690308391233704</v>
      </c>
    </row>
    <row r="83" spans="1:16" s="25" customFormat="1" ht="36.75" customHeight="1" x14ac:dyDescent="0.25">
      <c r="A83" s="12" t="s">
        <v>6</v>
      </c>
      <c r="B83" s="8">
        <f ca="1">OFFSET(INDEX(data!E:E,MATCH(B80,data!E:E,0)),-6,(H80-5)-(B82-1))</f>
        <v>46169</v>
      </c>
      <c r="C83" s="12" t="s">
        <v>10</v>
      </c>
      <c r="D83" s="10">
        <f ca="1">OFFSET(INDEX(data!E:E,MATCH(B80,data!E:E,0)),-2,(H80-5)-(B82-1))</f>
        <v>1075.4000000000001</v>
      </c>
      <c r="E83" s="12" t="s">
        <v>13</v>
      </c>
      <c r="F83" s="10">
        <f ca="1">(D83-D82)/(6*_xlfn.STDEV.P(OFFSET(INDEX(data!E:E,MATCH(B80,data!E:E,0)),-1,(H80-5)-(B82-1),1,B82)))</f>
        <v>3.5440161533297885</v>
      </c>
      <c r="G83" s="34"/>
      <c r="H83" s="31"/>
      <c r="I83" s="5"/>
      <c r="J83" s="23" t="str">
        <f t="shared" ca="1" si="31"/>
        <v>PART02</v>
      </c>
      <c r="K83" s="23" t="str">
        <f t="shared" ca="1" si="31"/>
        <v>Lower Sub-Assembly</v>
      </c>
      <c r="L83" s="25" t="str">
        <f t="shared" si="31"/>
        <v>PART02_01R_Z</v>
      </c>
      <c r="M83" s="25" t="str">
        <f ca="1">M82</f>
        <v>Pos Z</v>
      </c>
      <c r="N83" s="24">
        <f t="shared" ca="1" si="30"/>
        <v>-0.9635483870963526</v>
      </c>
      <c r="O83" s="24">
        <f t="shared" ca="1" si="30"/>
        <v>3.5440161533297885</v>
      </c>
      <c r="P83" s="24">
        <f t="shared" ca="1" si="30"/>
        <v>2.690308391233704</v>
      </c>
    </row>
    <row r="84" spans="1:16" s="25" customFormat="1" ht="36.75" customHeight="1" thickBot="1" x14ac:dyDescent="0.3">
      <c r="A84" s="13" t="s">
        <v>7</v>
      </c>
      <c r="B84" s="9">
        <f ca="1">OFFSET(INDEX(data!E:E,MATCH(B80,data!E:E,0)),-6,H80-5)</f>
        <v>46186</v>
      </c>
      <c r="C84" s="13" t="s">
        <v>16</v>
      </c>
      <c r="D84" s="11">
        <f ca="1">OFFSET(INDEX(data!E:E,MATCH(B80,data!E:E,0)),-1,H80-5)</f>
        <v>1070.49</v>
      </c>
      <c r="E84" s="13" t="s">
        <v>14</v>
      </c>
      <c r="F84" s="11">
        <f ca="1">MIN((D83-F81)/(3*_xlfn.STDEV.P(OFFSET(INDEX(data!E:E,MATCH(B80,data!E:E,0)),-1,(H80-5)-(B82-1),1,B82))),(F81-D82)/(3*_xlfn.STDEV.P(OFFSET(INDEX(data!E:E,MATCH(B80,data!E:E,0)),-1,(H80-5)-(B82-1),1,B82))))</f>
        <v>2.690308391233704</v>
      </c>
      <c r="G84" s="35"/>
      <c r="H84" s="32"/>
      <c r="I84" s="5"/>
      <c r="J84" s="23" t="str">
        <f t="shared" ca="1" si="31"/>
        <v>PART02</v>
      </c>
      <c r="K84" s="23" t="str">
        <f t="shared" ca="1" si="31"/>
        <v>Lower Sub-Assembly</v>
      </c>
      <c r="L84" s="25" t="str">
        <f t="shared" si="31"/>
        <v>PART02_01R_Z</v>
      </c>
      <c r="M84" s="25" t="str">
        <f ca="1">M83</f>
        <v>Pos Z</v>
      </c>
      <c r="N84" s="24">
        <f t="shared" ca="1" si="30"/>
        <v>-0.9635483870963526</v>
      </c>
      <c r="O84" s="24">
        <f t="shared" ca="1" si="30"/>
        <v>3.5440161533297885</v>
      </c>
      <c r="P84" s="24">
        <f t="shared" ca="1" si="30"/>
        <v>2.690308391233704</v>
      </c>
    </row>
    <row r="85" spans="1:16" s="25" customFormat="1" ht="36.75" customHeight="1" thickBot="1" x14ac:dyDescent="0.3">
      <c r="A85" s="21" t="s">
        <v>3</v>
      </c>
      <c r="B85" s="6" t="s">
        <v>67</v>
      </c>
      <c r="C85" s="14" t="s">
        <v>15</v>
      </c>
      <c r="D85" s="28" t="str">
        <f ca="1">OFFSET(INDEX(data!E:E,MATCH(B85,data!E:E,0)),0,1)</f>
        <v>Lower Part Outboard Hole - Pos X</v>
      </c>
      <c r="E85" s="28"/>
      <c r="F85" s="28"/>
      <c r="G85" s="29"/>
      <c r="H85" s="30">
        <f ca="1">OFFSET(INDEX(data!E:E,MATCH(B85,data!E:E,0)),0,3)</f>
        <v>62</v>
      </c>
      <c r="I85" s="5"/>
      <c r="J85" s="23" t="str">
        <f ca="1">OFFSET(INDEX(data!E:E,MATCH(B85,data!E:E,0)),0,-2)</f>
        <v>PART02</v>
      </c>
      <c r="K85" s="23" t="str">
        <f ca="1">OFFSET(INDEX(data!E:E,MATCH(B85,data!E:E,0)),0,-1)</f>
        <v>Lower Sub-Assembly</v>
      </c>
      <c r="L85" s="25" t="str">
        <f>B85</f>
        <v>PART02_02R_X</v>
      </c>
      <c r="M85" s="25" t="str">
        <f ca="1">B86</f>
        <v>Pos X</v>
      </c>
      <c r="N85" s="24">
        <f ca="1">F87</f>
        <v>-0.49951612903259957</v>
      </c>
      <c r="O85" s="24">
        <f ca="1">F88</f>
        <v>4.8265390618677309</v>
      </c>
      <c r="P85" s="24">
        <f ca="1">F89</f>
        <v>4.2238055346655301</v>
      </c>
    </row>
    <row r="86" spans="1:16" s="25" customFormat="1" ht="36.75" customHeight="1" x14ac:dyDescent="0.25">
      <c r="A86" s="12" t="s">
        <v>4</v>
      </c>
      <c r="B86" s="7" t="str">
        <f ca="1">OFFSET(INDEX(data!E:E,MATCH(B85,data!E:E,0)),0,2)</f>
        <v>Pos X</v>
      </c>
      <c r="C86" s="15" t="s">
        <v>8</v>
      </c>
      <c r="D86" s="17">
        <f ca="1">OFFSET(INDEX(data!E:E,MATCH(B85,data!E:E,0)),-4,(H85-5)-(B87-1))</f>
        <v>1527.1</v>
      </c>
      <c r="E86" s="15" t="s">
        <v>11</v>
      </c>
      <c r="F86" s="17">
        <f ca="1">AVERAGE(OFFSET(INDEX(data!E:E,MATCH(B85,data!E:E,0)),-1,(H85-5)-(B87-1),1,B87))</f>
        <v>1526.6004838709673</v>
      </c>
      <c r="G86" s="33"/>
      <c r="H86" s="31"/>
      <c r="I86" s="5"/>
      <c r="J86" s="23" t="str">
        <f ca="1">J85</f>
        <v>PART02</v>
      </c>
      <c r="K86" s="23" t="str">
        <f ca="1">K85</f>
        <v>Lower Sub-Assembly</v>
      </c>
      <c r="L86" s="25" t="str">
        <f>L85</f>
        <v>PART02_02R_X</v>
      </c>
      <c r="M86" s="25" t="str">
        <f ca="1">M85</f>
        <v>Pos X</v>
      </c>
      <c r="N86" s="24">
        <f t="shared" ref="N86:P89" ca="1" si="32">N85</f>
        <v>-0.49951612903259957</v>
      </c>
      <c r="O86" s="24">
        <f t="shared" ca="1" si="32"/>
        <v>4.8265390618677309</v>
      </c>
      <c r="P86" s="24">
        <f t="shared" ca="1" si="32"/>
        <v>4.2238055346655301</v>
      </c>
    </row>
    <row r="87" spans="1:16" s="25" customFormat="1" ht="36.75" customHeight="1" x14ac:dyDescent="0.25">
      <c r="A87" s="12" t="s">
        <v>5</v>
      </c>
      <c r="B87" s="16">
        <f ca="1">H85</f>
        <v>62</v>
      </c>
      <c r="C87" s="12" t="s">
        <v>9</v>
      </c>
      <c r="D87" s="10">
        <f ca="1">OFFSET(INDEX(data!E:E,MATCH(B85,data!E:E,0)),-3,(H85-5)-(B87-1))</f>
        <v>1523.1</v>
      </c>
      <c r="E87" s="12" t="s">
        <v>12</v>
      </c>
      <c r="F87" s="10">
        <f ca="1">F86-D86</f>
        <v>-0.49951612903259957</v>
      </c>
      <c r="G87" s="34"/>
      <c r="H87" s="31"/>
      <c r="I87" s="5"/>
      <c r="J87" s="23" t="str">
        <f t="shared" ref="J87:L89" ca="1" si="33">J86</f>
        <v>PART02</v>
      </c>
      <c r="K87" s="23" t="str">
        <f t="shared" ca="1" si="33"/>
        <v>Lower Sub-Assembly</v>
      </c>
      <c r="L87" s="25" t="str">
        <f t="shared" si="33"/>
        <v>PART02_02R_X</v>
      </c>
      <c r="M87" s="25" t="str">
        <f ca="1">M86</f>
        <v>Pos X</v>
      </c>
      <c r="N87" s="24">
        <f t="shared" ca="1" si="32"/>
        <v>-0.49951612903259957</v>
      </c>
      <c r="O87" s="24">
        <f t="shared" ca="1" si="32"/>
        <v>4.8265390618677309</v>
      </c>
      <c r="P87" s="24">
        <f t="shared" ca="1" si="32"/>
        <v>4.2238055346655301</v>
      </c>
    </row>
    <row r="88" spans="1:16" s="25" customFormat="1" ht="36.75" customHeight="1" x14ac:dyDescent="0.25">
      <c r="A88" s="12" t="s">
        <v>6</v>
      </c>
      <c r="B88" s="8">
        <f ca="1">OFFSET(INDEX(data!E:E,MATCH(B85,data!E:E,0)),-6,(H85-5)-(B87-1))</f>
        <v>46169</v>
      </c>
      <c r="C88" s="12" t="s">
        <v>10</v>
      </c>
      <c r="D88" s="10">
        <f ca="1">OFFSET(INDEX(data!E:E,MATCH(B85,data!E:E,0)),-2,(H85-5)-(B87-1))</f>
        <v>1531.1</v>
      </c>
      <c r="E88" s="12" t="s">
        <v>13</v>
      </c>
      <c r="F88" s="10">
        <f ca="1">(D88-D87)/(6*_xlfn.STDEV.P(OFFSET(INDEX(data!E:E,MATCH(B85,data!E:E,0)),-1,(H85-5)-(B87-1),1,B87)))</f>
        <v>4.8265390618677309</v>
      </c>
      <c r="G88" s="34"/>
      <c r="H88" s="31"/>
      <c r="I88" s="5"/>
      <c r="J88" s="23" t="str">
        <f t="shared" ca="1" si="33"/>
        <v>PART02</v>
      </c>
      <c r="K88" s="23" t="str">
        <f t="shared" ca="1" si="33"/>
        <v>Lower Sub-Assembly</v>
      </c>
      <c r="L88" s="25" t="str">
        <f t="shared" si="33"/>
        <v>PART02_02R_X</v>
      </c>
      <c r="M88" s="25" t="str">
        <f ca="1">M87</f>
        <v>Pos X</v>
      </c>
      <c r="N88" s="24">
        <f t="shared" ca="1" si="32"/>
        <v>-0.49951612903259957</v>
      </c>
      <c r="O88" s="24">
        <f t="shared" ca="1" si="32"/>
        <v>4.8265390618677309</v>
      </c>
      <c r="P88" s="24">
        <f t="shared" ca="1" si="32"/>
        <v>4.2238055346655301</v>
      </c>
    </row>
    <row r="89" spans="1:16" s="25" customFormat="1" ht="36.75" customHeight="1" thickBot="1" x14ac:dyDescent="0.3">
      <c r="A89" s="13" t="s">
        <v>7</v>
      </c>
      <c r="B89" s="9">
        <f ca="1">OFFSET(INDEX(data!E:E,MATCH(B85,data!E:E,0)),-6,H85-5)</f>
        <v>46186</v>
      </c>
      <c r="C89" s="13" t="s">
        <v>16</v>
      </c>
      <c r="D89" s="11">
        <f ca="1">OFFSET(INDEX(data!E:E,MATCH(B85,data!E:E,0)),-1,H85-5)</f>
        <v>1526.58</v>
      </c>
      <c r="E89" s="13" t="s">
        <v>14</v>
      </c>
      <c r="F89" s="11">
        <f ca="1">MIN((D88-F86)/(3*_xlfn.STDEV.P(OFFSET(INDEX(data!E:E,MATCH(B85,data!E:E,0)),-1,(H85-5)-(B87-1),1,B87))),(F86-D87)/(3*_xlfn.STDEV.P(OFFSET(INDEX(data!E:E,MATCH(B85,data!E:E,0)),-1,(H85-5)-(B87-1),1,B87))))</f>
        <v>4.2238055346655301</v>
      </c>
      <c r="G89" s="35"/>
      <c r="H89" s="32"/>
      <c r="I89" s="5"/>
      <c r="J89" s="23" t="str">
        <f t="shared" ca="1" si="33"/>
        <v>PART02</v>
      </c>
      <c r="K89" s="23" t="str">
        <f t="shared" ca="1" si="33"/>
        <v>Lower Sub-Assembly</v>
      </c>
      <c r="L89" s="25" t="str">
        <f t="shared" si="33"/>
        <v>PART02_02R_X</v>
      </c>
      <c r="M89" s="25" t="str">
        <f ca="1">M88</f>
        <v>Pos X</v>
      </c>
      <c r="N89" s="24">
        <f t="shared" ca="1" si="32"/>
        <v>-0.49951612903259957</v>
      </c>
      <c r="O89" s="24">
        <f t="shared" ca="1" si="32"/>
        <v>4.8265390618677309</v>
      </c>
      <c r="P89" s="24">
        <f t="shared" ca="1" si="32"/>
        <v>4.2238055346655301</v>
      </c>
    </row>
    <row r="90" spans="1:16" s="25" customFormat="1" ht="36.75" customHeight="1" thickBot="1" x14ac:dyDescent="0.3">
      <c r="A90" s="21" t="s">
        <v>3</v>
      </c>
      <c r="B90" s="6" t="s">
        <v>69</v>
      </c>
      <c r="C90" s="14" t="s">
        <v>15</v>
      </c>
      <c r="D90" s="28" t="str">
        <f ca="1">OFFSET(INDEX(data!E:E,MATCH(B90,data!E:E,0)),0,1)</f>
        <v>Lower Part Outboard Hole - Pos Y</v>
      </c>
      <c r="E90" s="28"/>
      <c r="F90" s="28"/>
      <c r="G90" s="29"/>
      <c r="H90" s="30">
        <f ca="1">OFFSET(INDEX(data!E:E,MATCH(B90,data!E:E,0)),0,3)</f>
        <v>62</v>
      </c>
      <c r="I90" s="5"/>
      <c r="J90" s="23" t="str">
        <f ca="1">OFFSET(INDEX(data!E:E,MATCH(B90,data!E:E,0)),0,-2)</f>
        <v>PART02</v>
      </c>
      <c r="K90" s="23" t="str">
        <f ca="1">OFFSET(INDEX(data!E:E,MATCH(B90,data!E:E,0)),0,-1)</f>
        <v>Lower Sub-Assembly</v>
      </c>
      <c r="L90" s="25" t="str">
        <f>B90</f>
        <v>PART02_02R_Y</v>
      </c>
      <c r="M90" s="25" t="str">
        <f ca="1">B91</f>
        <v>Pos Y</v>
      </c>
      <c r="N90" s="24">
        <f ca="1">F92</f>
        <v>-0.67741935483854832</v>
      </c>
      <c r="O90" s="24">
        <f ca="1">F93</f>
        <v>1.5900045741915207</v>
      </c>
      <c r="P90" s="24">
        <f ca="1">F94</f>
        <v>1.3207296059817306</v>
      </c>
    </row>
    <row r="91" spans="1:16" s="25" customFormat="1" ht="36.75" customHeight="1" x14ac:dyDescent="0.25">
      <c r="A91" s="12" t="s">
        <v>4</v>
      </c>
      <c r="B91" s="7" t="str">
        <f ca="1">OFFSET(INDEX(data!E:E,MATCH(B90,data!E:E,0)),0,2)</f>
        <v>Pos Y</v>
      </c>
      <c r="C91" s="15" t="s">
        <v>8</v>
      </c>
      <c r="D91" s="17">
        <f ca="1">OFFSET(INDEX(data!E:E,MATCH(B90,data!E:E,0)),-4,(H90-5)-(B92-1))</f>
        <v>620.4</v>
      </c>
      <c r="E91" s="15" t="s">
        <v>11</v>
      </c>
      <c r="F91" s="17">
        <f ca="1">AVERAGE(OFFSET(INDEX(data!E:E,MATCH(B90,data!E:E,0)),-1,(H90-5)-(B92-1),1,B92))</f>
        <v>619.72258064516143</v>
      </c>
      <c r="G91" s="33"/>
      <c r="H91" s="31"/>
      <c r="I91" s="5"/>
      <c r="J91" s="23" t="str">
        <f ca="1">J90</f>
        <v>PART02</v>
      </c>
      <c r="K91" s="23" t="str">
        <f ca="1">K90</f>
        <v>Lower Sub-Assembly</v>
      </c>
      <c r="L91" s="25" t="str">
        <f>L90</f>
        <v>PART02_02R_Y</v>
      </c>
      <c r="M91" s="25" t="str">
        <f ca="1">M90</f>
        <v>Pos Y</v>
      </c>
      <c r="N91" s="24">
        <f t="shared" ref="N91:P94" ca="1" si="34">N90</f>
        <v>-0.67741935483854832</v>
      </c>
      <c r="O91" s="24">
        <f t="shared" ca="1" si="34"/>
        <v>1.5900045741915207</v>
      </c>
      <c r="P91" s="24">
        <f t="shared" ca="1" si="34"/>
        <v>1.3207296059817306</v>
      </c>
    </row>
    <row r="92" spans="1:16" s="25" customFormat="1" ht="36.75" customHeight="1" x14ac:dyDescent="0.25">
      <c r="A92" s="12" t="s">
        <v>5</v>
      </c>
      <c r="B92" s="16">
        <f ca="1">H90</f>
        <v>62</v>
      </c>
      <c r="C92" s="12" t="s">
        <v>9</v>
      </c>
      <c r="D92" s="10">
        <f ca="1">OFFSET(INDEX(data!E:E,MATCH(B90,data!E:E,0)),-3,(H90-5)-(B92-1))</f>
        <v>616.4</v>
      </c>
      <c r="E92" s="12" t="s">
        <v>12</v>
      </c>
      <c r="F92" s="10">
        <f ca="1">F91-D91</f>
        <v>-0.67741935483854832</v>
      </c>
      <c r="G92" s="34"/>
      <c r="H92" s="31"/>
      <c r="I92" s="5"/>
      <c r="J92" s="23" t="str">
        <f t="shared" ref="J92:L94" ca="1" si="35">J91</f>
        <v>PART02</v>
      </c>
      <c r="K92" s="23" t="str">
        <f t="shared" ca="1" si="35"/>
        <v>Lower Sub-Assembly</v>
      </c>
      <c r="L92" s="25" t="str">
        <f t="shared" si="35"/>
        <v>PART02_02R_Y</v>
      </c>
      <c r="M92" s="25" t="str">
        <f ca="1">M91</f>
        <v>Pos Y</v>
      </c>
      <c r="N92" s="24">
        <f t="shared" ca="1" si="34"/>
        <v>-0.67741935483854832</v>
      </c>
      <c r="O92" s="24">
        <f t="shared" ca="1" si="34"/>
        <v>1.5900045741915207</v>
      </c>
      <c r="P92" s="24">
        <f t="shared" ca="1" si="34"/>
        <v>1.3207296059817306</v>
      </c>
    </row>
    <row r="93" spans="1:16" s="25" customFormat="1" ht="36.75" customHeight="1" x14ac:dyDescent="0.25">
      <c r="A93" s="12" t="s">
        <v>6</v>
      </c>
      <c r="B93" s="8">
        <f ca="1">OFFSET(INDEX(data!E:E,MATCH(B90,data!E:E,0)),-6,(H90-5)-(B92-1))</f>
        <v>46169</v>
      </c>
      <c r="C93" s="12" t="s">
        <v>10</v>
      </c>
      <c r="D93" s="10">
        <f ca="1">OFFSET(INDEX(data!E:E,MATCH(B90,data!E:E,0)),-2,(H90-5)-(B92-1))</f>
        <v>624.4</v>
      </c>
      <c r="E93" s="12" t="s">
        <v>13</v>
      </c>
      <c r="F93" s="10">
        <f ca="1">(D93-D92)/(6*_xlfn.STDEV.P(OFFSET(INDEX(data!E:E,MATCH(B90,data!E:E,0)),-1,(H90-5)-(B92-1),1,B92)))</f>
        <v>1.5900045741915207</v>
      </c>
      <c r="G93" s="34"/>
      <c r="H93" s="31"/>
      <c r="I93" s="5"/>
      <c r="J93" s="23" t="str">
        <f t="shared" ca="1" si="35"/>
        <v>PART02</v>
      </c>
      <c r="K93" s="23" t="str">
        <f t="shared" ca="1" si="35"/>
        <v>Lower Sub-Assembly</v>
      </c>
      <c r="L93" s="25" t="str">
        <f t="shared" si="35"/>
        <v>PART02_02R_Y</v>
      </c>
      <c r="M93" s="25" t="str">
        <f ca="1">M92</f>
        <v>Pos Y</v>
      </c>
      <c r="N93" s="24">
        <f t="shared" ca="1" si="34"/>
        <v>-0.67741935483854832</v>
      </c>
      <c r="O93" s="24">
        <f t="shared" ca="1" si="34"/>
        <v>1.5900045741915207</v>
      </c>
      <c r="P93" s="24">
        <f t="shared" ca="1" si="34"/>
        <v>1.3207296059817306</v>
      </c>
    </row>
    <row r="94" spans="1:16" s="25" customFormat="1" ht="36.75" customHeight="1" thickBot="1" x14ac:dyDescent="0.3">
      <c r="A94" s="13" t="s">
        <v>7</v>
      </c>
      <c r="B94" s="9">
        <f ca="1">OFFSET(INDEX(data!E:E,MATCH(B90,data!E:E,0)),-6,H90-5)</f>
        <v>46186</v>
      </c>
      <c r="C94" s="13" t="s">
        <v>16</v>
      </c>
      <c r="D94" s="11">
        <f ca="1">OFFSET(INDEX(data!E:E,MATCH(B90,data!E:E,0)),-1,H90-5)</f>
        <v>620.45000000000005</v>
      </c>
      <c r="E94" s="13" t="s">
        <v>14</v>
      </c>
      <c r="F94" s="11">
        <f ca="1">MIN((D93-F91)/(3*_xlfn.STDEV.P(OFFSET(INDEX(data!E:E,MATCH(B90,data!E:E,0)),-1,(H90-5)-(B92-1),1,B92))),(F91-D92)/(3*_xlfn.STDEV.P(OFFSET(INDEX(data!E:E,MATCH(B90,data!E:E,0)),-1,(H90-5)-(B92-1),1,B92))))</f>
        <v>1.3207296059817306</v>
      </c>
      <c r="G94" s="35"/>
      <c r="H94" s="32"/>
      <c r="I94" s="5"/>
      <c r="J94" s="23" t="str">
        <f t="shared" ca="1" si="35"/>
        <v>PART02</v>
      </c>
      <c r="K94" s="23" t="str">
        <f t="shared" ca="1" si="35"/>
        <v>Lower Sub-Assembly</v>
      </c>
      <c r="L94" s="25" t="str">
        <f t="shared" si="35"/>
        <v>PART02_02R_Y</v>
      </c>
      <c r="M94" s="25" t="str">
        <f ca="1">M93</f>
        <v>Pos Y</v>
      </c>
      <c r="N94" s="24">
        <f t="shared" ca="1" si="34"/>
        <v>-0.67741935483854832</v>
      </c>
      <c r="O94" s="24">
        <f t="shared" ca="1" si="34"/>
        <v>1.5900045741915207</v>
      </c>
      <c r="P94" s="24">
        <f t="shared" ca="1" si="34"/>
        <v>1.3207296059817306</v>
      </c>
    </row>
    <row r="95" spans="1:16" s="25" customFormat="1" ht="36.75" customHeight="1" thickBot="1" x14ac:dyDescent="0.3">
      <c r="A95" s="21" t="s">
        <v>3</v>
      </c>
      <c r="B95" s="6" t="s">
        <v>71</v>
      </c>
      <c r="C95" s="14" t="s">
        <v>15</v>
      </c>
      <c r="D95" s="28" t="str">
        <f ca="1">OFFSET(INDEX(data!E:E,MATCH(B95,data!E:E,0)),0,1)</f>
        <v>Lower Part Outboard Hole - Pos Z</v>
      </c>
      <c r="E95" s="28"/>
      <c r="F95" s="28"/>
      <c r="G95" s="29"/>
      <c r="H95" s="30">
        <f ca="1">OFFSET(INDEX(data!E:E,MATCH(B95,data!E:E,0)),0,3)</f>
        <v>62</v>
      </c>
      <c r="I95" s="5"/>
      <c r="J95" s="23" t="str">
        <f ca="1">OFFSET(INDEX(data!E:E,MATCH(B95,data!E:E,0)),0,-2)</f>
        <v>PART02</v>
      </c>
      <c r="K95" s="23" t="str">
        <f ca="1">OFFSET(INDEX(data!E:E,MATCH(B95,data!E:E,0)),0,-1)</f>
        <v>Lower Sub-Assembly</v>
      </c>
      <c r="L95" s="25" t="str">
        <f>B95</f>
        <v>PART02_02R_Z</v>
      </c>
      <c r="M95" s="25" t="str">
        <f ca="1">B96</f>
        <v>Pos Z</v>
      </c>
      <c r="N95" s="24">
        <f ca="1">F97</f>
        <v>0.53370967741921049</v>
      </c>
      <c r="O95" s="24">
        <f ca="1">F98</f>
        <v>2.8915670927412713</v>
      </c>
      <c r="P95" s="24">
        <f ca="1">F99</f>
        <v>2.5057527576655345</v>
      </c>
    </row>
    <row r="96" spans="1:16" s="25" customFormat="1" ht="36.75" customHeight="1" x14ac:dyDescent="0.25">
      <c r="A96" s="12" t="s">
        <v>4</v>
      </c>
      <c r="B96" s="7" t="str">
        <f ca="1">OFFSET(INDEX(data!E:E,MATCH(B95,data!E:E,0)),0,2)</f>
        <v>Pos Z</v>
      </c>
      <c r="C96" s="15" t="s">
        <v>8</v>
      </c>
      <c r="D96" s="17">
        <f ca="1">OFFSET(INDEX(data!E:E,MATCH(B95,data!E:E,0)),-4,(H95-5)-(B97-1))</f>
        <v>918</v>
      </c>
      <c r="E96" s="15" t="s">
        <v>11</v>
      </c>
      <c r="F96" s="17">
        <f ca="1">AVERAGE(OFFSET(INDEX(data!E:E,MATCH(B95,data!E:E,0)),-1,(H95-5)-(B97-1),1,B97))</f>
        <v>918.53370967741921</v>
      </c>
      <c r="G96" s="33"/>
      <c r="H96" s="31"/>
      <c r="I96" s="5"/>
      <c r="J96" s="23" t="str">
        <f ca="1">J95</f>
        <v>PART02</v>
      </c>
      <c r="K96" s="23" t="str">
        <f ca="1">K95</f>
        <v>Lower Sub-Assembly</v>
      </c>
      <c r="L96" s="25" t="str">
        <f>L95</f>
        <v>PART02_02R_Z</v>
      </c>
      <c r="M96" s="25" t="str">
        <f ca="1">M95</f>
        <v>Pos Z</v>
      </c>
      <c r="N96" s="24">
        <f t="shared" ref="N96:P99" ca="1" si="36">N95</f>
        <v>0.53370967741921049</v>
      </c>
      <c r="O96" s="24">
        <f t="shared" ca="1" si="36"/>
        <v>2.8915670927412713</v>
      </c>
      <c r="P96" s="24">
        <f t="shared" ca="1" si="36"/>
        <v>2.5057527576655345</v>
      </c>
    </row>
    <row r="97" spans="1:16" s="25" customFormat="1" ht="36.75" customHeight="1" x14ac:dyDescent="0.25">
      <c r="A97" s="12" t="s">
        <v>5</v>
      </c>
      <c r="B97" s="16">
        <f ca="1">H95</f>
        <v>62</v>
      </c>
      <c r="C97" s="12" t="s">
        <v>9</v>
      </c>
      <c r="D97" s="10">
        <f ca="1">OFFSET(INDEX(data!E:E,MATCH(B95,data!E:E,0)),-3,(H95-5)-(B97-1))</f>
        <v>914</v>
      </c>
      <c r="E97" s="12" t="s">
        <v>12</v>
      </c>
      <c r="F97" s="10">
        <f ca="1">F96-D96</f>
        <v>0.53370967741921049</v>
      </c>
      <c r="G97" s="34"/>
      <c r="H97" s="31"/>
      <c r="I97" s="5"/>
      <c r="J97" s="23" t="str">
        <f t="shared" ref="J97:L99" ca="1" si="37">J96</f>
        <v>PART02</v>
      </c>
      <c r="K97" s="23" t="str">
        <f t="shared" ca="1" si="37"/>
        <v>Lower Sub-Assembly</v>
      </c>
      <c r="L97" s="25" t="str">
        <f t="shared" si="37"/>
        <v>PART02_02R_Z</v>
      </c>
      <c r="M97" s="25" t="str">
        <f ca="1">M96</f>
        <v>Pos Z</v>
      </c>
      <c r="N97" s="24">
        <f t="shared" ca="1" si="36"/>
        <v>0.53370967741921049</v>
      </c>
      <c r="O97" s="24">
        <f t="shared" ca="1" si="36"/>
        <v>2.8915670927412713</v>
      </c>
      <c r="P97" s="24">
        <f t="shared" ca="1" si="36"/>
        <v>2.5057527576655345</v>
      </c>
    </row>
    <row r="98" spans="1:16" s="25" customFormat="1" ht="36.75" customHeight="1" x14ac:dyDescent="0.25">
      <c r="A98" s="12" t="s">
        <v>6</v>
      </c>
      <c r="B98" s="8">
        <f ca="1">OFFSET(INDEX(data!E:E,MATCH(B95,data!E:E,0)),-6,(H95-5)-(B97-1))</f>
        <v>46169</v>
      </c>
      <c r="C98" s="12" t="s">
        <v>10</v>
      </c>
      <c r="D98" s="10">
        <f ca="1">OFFSET(INDEX(data!E:E,MATCH(B95,data!E:E,0)),-2,(H95-5)-(B97-1))</f>
        <v>922</v>
      </c>
      <c r="E98" s="12" t="s">
        <v>13</v>
      </c>
      <c r="F98" s="10">
        <f ca="1">(D98-D97)/(6*_xlfn.STDEV.P(OFFSET(INDEX(data!E:E,MATCH(B95,data!E:E,0)),-1,(H95-5)-(B97-1),1,B97)))</f>
        <v>2.8915670927412713</v>
      </c>
      <c r="G98" s="34"/>
      <c r="H98" s="31"/>
      <c r="I98" s="5"/>
      <c r="J98" s="23" t="str">
        <f t="shared" ca="1" si="37"/>
        <v>PART02</v>
      </c>
      <c r="K98" s="23" t="str">
        <f t="shared" ca="1" si="37"/>
        <v>Lower Sub-Assembly</v>
      </c>
      <c r="L98" s="25" t="str">
        <f t="shared" si="37"/>
        <v>PART02_02R_Z</v>
      </c>
      <c r="M98" s="25" t="str">
        <f ca="1">M97</f>
        <v>Pos Z</v>
      </c>
      <c r="N98" s="24">
        <f t="shared" ca="1" si="36"/>
        <v>0.53370967741921049</v>
      </c>
      <c r="O98" s="24">
        <f t="shared" ca="1" si="36"/>
        <v>2.8915670927412713</v>
      </c>
      <c r="P98" s="24">
        <f t="shared" ca="1" si="36"/>
        <v>2.5057527576655345</v>
      </c>
    </row>
    <row r="99" spans="1:16" s="25" customFormat="1" ht="36.75" customHeight="1" thickBot="1" x14ac:dyDescent="0.3">
      <c r="A99" s="13" t="s">
        <v>7</v>
      </c>
      <c r="B99" s="9">
        <f ca="1">OFFSET(INDEX(data!E:E,MATCH(B95,data!E:E,0)),-6,H95-5)</f>
        <v>46186</v>
      </c>
      <c r="C99" s="13" t="s">
        <v>16</v>
      </c>
      <c r="D99" s="11">
        <f ca="1">OFFSET(INDEX(data!E:E,MATCH(B95,data!E:E,0)),-1,H95-5)</f>
        <v>918.86</v>
      </c>
      <c r="E99" s="13" t="s">
        <v>14</v>
      </c>
      <c r="F99" s="11">
        <f ca="1">MIN((D98-F96)/(3*_xlfn.STDEV.P(OFFSET(INDEX(data!E:E,MATCH(B95,data!E:E,0)),-1,(H95-5)-(B97-1),1,B97))),(F96-D97)/(3*_xlfn.STDEV.P(OFFSET(INDEX(data!E:E,MATCH(B95,data!E:E,0)),-1,(H95-5)-(B97-1),1,B97))))</f>
        <v>2.5057527576655345</v>
      </c>
      <c r="G99" s="35"/>
      <c r="H99" s="32"/>
      <c r="I99" s="5"/>
      <c r="J99" s="23" t="str">
        <f t="shared" ca="1" si="37"/>
        <v>PART02</v>
      </c>
      <c r="K99" s="23" t="str">
        <f t="shared" ca="1" si="37"/>
        <v>Lower Sub-Assembly</v>
      </c>
      <c r="L99" s="25" t="str">
        <f t="shared" si="37"/>
        <v>PART02_02R_Z</v>
      </c>
      <c r="M99" s="25" t="str">
        <f ca="1">M98</f>
        <v>Pos Z</v>
      </c>
      <c r="N99" s="24">
        <f t="shared" ca="1" si="36"/>
        <v>0.53370967741921049</v>
      </c>
      <c r="O99" s="24">
        <f t="shared" ca="1" si="36"/>
        <v>2.8915670927412713</v>
      </c>
      <c r="P99" s="24">
        <f t="shared" ca="1" si="36"/>
        <v>2.5057527576655345</v>
      </c>
    </row>
    <row r="100" spans="1:16" s="25" customFormat="1" ht="36.75" customHeight="1" thickBot="1" x14ac:dyDescent="0.3">
      <c r="A100" s="21" t="s">
        <v>3</v>
      </c>
      <c r="B100" s="6" t="s">
        <v>73</v>
      </c>
      <c r="C100" s="14" t="s">
        <v>15</v>
      </c>
      <c r="D100" s="28" t="str">
        <f ca="1">OFFSET(INDEX(data!E:E,MATCH(B100,data!E:E,0)),0,1)</f>
        <v>Lower Part - Inboard vs Outboard Holes - W-Pitch</v>
      </c>
      <c r="E100" s="28"/>
      <c r="F100" s="28"/>
      <c r="G100" s="29"/>
      <c r="H100" s="30">
        <f ca="1">OFFSET(INDEX(data!E:E,MATCH(B100,data!E:E,0)),0,3)</f>
        <v>62</v>
      </c>
      <c r="I100" s="5"/>
      <c r="J100" s="23" t="str">
        <f ca="1">OFFSET(INDEX(data!E:E,MATCH(B100,data!E:E,0)),0,-2)</f>
        <v>PART02</v>
      </c>
      <c r="K100" s="23" t="str">
        <f ca="1">OFFSET(INDEX(data!E:E,MATCH(B100,data!E:E,0)),0,-1)</f>
        <v>Lower Sub-Assembly</v>
      </c>
      <c r="L100" s="25" t="str">
        <f>B100</f>
        <v>PART02_P1_Y</v>
      </c>
      <c r="M100" s="25" t="str">
        <f ca="1">B101</f>
        <v>Dist Y</v>
      </c>
      <c r="N100" s="24">
        <f ca="1">F102</f>
        <v>1.2716129032255594</v>
      </c>
      <c r="O100" s="24">
        <f ca="1">F103</f>
        <v>1.910226292888181</v>
      </c>
      <c r="P100" s="24">
        <f ca="1">F104</f>
        <v>1.3029591923588466</v>
      </c>
    </row>
    <row r="101" spans="1:16" s="25" customFormat="1" ht="36.75" customHeight="1" x14ac:dyDescent="0.25">
      <c r="A101" s="12" t="s">
        <v>4</v>
      </c>
      <c r="B101" s="7" t="str">
        <f ca="1">OFFSET(INDEX(data!E:E,MATCH(B100,data!E:E,0)),0,2)</f>
        <v>Dist Y</v>
      </c>
      <c r="C101" s="15" t="s">
        <v>8</v>
      </c>
      <c r="D101" s="17">
        <f ca="1">OFFSET(INDEX(data!E:E,MATCH(B100,data!E:E,0)),-4,(H100-5)-(B102-1))</f>
        <v>919.2</v>
      </c>
      <c r="E101" s="15" t="s">
        <v>11</v>
      </c>
      <c r="F101" s="17">
        <f ca="1">AVERAGE(OFFSET(INDEX(data!E:E,MATCH(B100,data!E:E,0)),-1,(H100-5)-(B102-1),1,B102))</f>
        <v>920.4716129032256</v>
      </c>
      <c r="G101" s="33"/>
      <c r="H101" s="31"/>
      <c r="I101" s="5"/>
      <c r="J101" s="23" t="str">
        <f ca="1">J100</f>
        <v>PART02</v>
      </c>
      <c r="K101" s="23" t="str">
        <f ca="1">K100</f>
        <v>Lower Sub-Assembly</v>
      </c>
      <c r="L101" s="25" t="str">
        <f>L100</f>
        <v>PART02_P1_Y</v>
      </c>
      <c r="M101" s="25" t="str">
        <f ca="1">M100</f>
        <v>Dist Y</v>
      </c>
      <c r="N101" s="24">
        <f t="shared" ref="N101:P104" ca="1" si="38">N100</f>
        <v>1.2716129032255594</v>
      </c>
      <c r="O101" s="24">
        <f t="shared" ca="1" si="38"/>
        <v>1.910226292888181</v>
      </c>
      <c r="P101" s="24">
        <f t="shared" ca="1" si="38"/>
        <v>1.3029591923588466</v>
      </c>
    </row>
    <row r="102" spans="1:16" s="25" customFormat="1" ht="36.75" customHeight="1" x14ac:dyDescent="0.25">
      <c r="A102" s="12" t="s">
        <v>5</v>
      </c>
      <c r="B102" s="16">
        <f ca="1">H100</f>
        <v>62</v>
      </c>
      <c r="C102" s="12" t="s">
        <v>9</v>
      </c>
      <c r="D102" s="10">
        <f ca="1">OFFSET(INDEX(data!E:E,MATCH(B100,data!E:E,0)),-3,(H100-5)-(B102-1))</f>
        <v>915.2</v>
      </c>
      <c r="E102" s="12" t="s">
        <v>12</v>
      </c>
      <c r="F102" s="10">
        <f ca="1">F101-D101</f>
        <v>1.2716129032255594</v>
      </c>
      <c r="G102" s="34"/>
      <c r="H102" s="31"/>
      <c r="I102" s="5"/>
      <c r="J102" s="23" t="str">
        <f t="shared" ref="J102:L104" ca="1" si="39">J101</f>
        <v>PART02</v>
      </c>
      <c r="K102" s="23" t="str">
        <f t="shared" ca="1" si="39"/>
        <v>Lower Sub-Assembly</v>
      </c>
      <c r="L102" s="25" t="str">
        <f t="shared" si="39"/>
        <v>PART02_P1_Y</v>
      </c>
      <c r="M102" s="25" t="str">
        <f ca="1">M101</f>
        <v>Dist Y</v>
      </c>
      <c r="N102" s="24">
        <f t="shared" ca="1" si="38"/>
        <v>1.2716129032255594</v>
      </c>
      <c r="O102" s="24">
        <f t="shared" ca="1" si="38"/>
        <v>1.910226292888181</v>
      </c>
      <c r="P102" s="24">
        <f t="shared" ca="1" si="38"/>
        <v>1.3029591923588466</v>
      </c>
    </row>
    <row r="103" spans="1:16" s="25" customFormat="1" ht="36.75" customHeight="1" x14ac:dyDescent="0.25">
      <c r="A103" s="12" t="s">
        <v>6</v>
      </c>
      <c r="B103" s="8">
        <f ca="1">OFFSET(INDEX(data!E:E,MATCH(B100,data!E:E,0)),-6,(H100-5)-(B102-1))</f>
        <v>46169</v>
      </c>
      <c r="C103" s="12" t="s">
        <v>10</v>
      </c>
      <c r="D103" s="10">
        <f ca="1">OFFSET(INDEX(data!E:E,MATCH(B100,data!E:E,0)),-2,(H100-5)-(B102-1))</f>
        <v>923.2</v>
      </c>
      <c r="E103" s="12" t="s">
        <v>13</v>
      </c>
      <c r="F103" s="10">
        <f ca="1">(D103-D102)/(6*_xlfn.STDEV.P(OFFSET(INDEX(data!E:E,MATCH(B100,data!E:E,0)),-1,(H100-5)-(B102-1),1,B102)))</f>
        <v>1.910226292888181</v>
      </c>
      <c r="G103" s="34"/>
      <c r="H103" s="31"/>
      <c r="I103" s="5"/>
      <c r="J103" s="23" t="str">
        <f t="shared" ca="1" si="39"/>
        <v>PART02</v>
      </c>
      <c r="K103" s="23" t="str">
        <f t="shared" ca="1" si="39"/>
        <v>Lower Sub-Assembly</v>
      </c>
      <c r="L103" s="25" t="str">
        <f t="shared" si="39"/>
        <v>PART02_P1_Y</v>
      </c>
      <c r="M103" s="25" t="str">
        <f ca="1">M102</f>
        <v>Dist Y</v>
      </c>
      <c r="N103" s="24">
        <f t="shared" ca="1" si="38"/>
        <v>1.2716129032255594</v>
      </c>
      <c r="O103" s="24">
        <f t="shared" ca="1" si="38"/>
        <v>1.910226292888181</v>
      </c>
      <c r="P103" s="24">
        <f t="shared" ca="1" si="38"/>
        <v>1.3029591923588466</v>
      </c>
    </row>
    <row r="104" spans="1:16" s="25" customFormat="1" ht="36.75" customHeight="1" thickBot="1" x14ac:dyDescent="0.3">
      <c r="A104" s="13" t="s">
        <v>7</v>
      </c>
      <c r="B104" s="9">
        <f ca="1">OFFSET(INDEX(data!E:E,MATCH(B100,data!E:E,0)),-6,H100-5)</f>
        <v>46186</v>
      </c>
      <c r="C104" s="13" t="s">
        <v>16</v>
      </c>
      <c r="D104" s="11">
        <f ca="1">OFFSET(INDEX(data!E:E,MATCH(B100,data!E:E,0)),-1,H100-5)</f>
        <v>919.85</v>
      </c>
      <c r="E104" s="13" t="s">
        <v>14</v>
      </c>
      <c r="F104" s="11">
        <f ca="1">MIN((D103-F101)/(3*_xlfn.STDEV.P(OFFSET(INDEX(data!E:E,MATCH(B100,data!E:E,0)),-1,(H100-5)-(B102-1),1,B102))),(F101-D102)/(3*_xlfn.STDEV.P(OFFSET(INDEX(data!E:E,MATCH(B100,data!E:E,0)),-1,(H100-5)-(B102-1),1,B102))))</f>
        <v>1.3029591923588466</v>
      </c>
      <c r="G104" s="35"/>
      <c r="H104" s="32"/>
      <c r="I104" s="5"/>
      <c r="J104" s="23" t="str">
        <f t="shared" ca="1" si="39"/>
        <v>PART02</v>
      </c>
      <c r="K104" s="23" t="str">
        <f t="shared" ca="1" si="39"/>
        <v>Lower Sub-Assembly</v>
      </c>
      <c r="L104" s="25" t="str">
        <f t="shared" si="39"/>
        <v>PART02_P1_Y</v>
      </c>
      <c r="M104" s="25" t="str">
        <f ca="1">M103</f>
        <v>Dist Y</v>
      </c>
      <c r="N104" s="24">
        <f t="shared" ca="1" si="38"/>
        <v>1.2716129032255594</v>
      </c>
      <c r="O104" s="24">
        <f t="shared" ca="1" si="38"/>
        <v>1.910226292888181</v>
      </c>
      <c r="P104" s="24">
        <f t="shared" ca="1" si="38"/>
        <v>1.3029591923588466</v>
      </c>
    </row>
  </sheetData>
  <autoFilter ref="J4:P109"/>
  <dataConsolidate/>
  <mergeCells count="62">
    <mergeCell ref="A1:H1"/>
    <mergeCell ref="A4:H4"/>
    <mergeCell ref="D5:G5"/>
    <mergeCell ref="H5:H9"/>
    <mergeCell ref="G6:G9"/>
    <mergeCell ref="D10:G10"/>
    <mergeCell ref="H10:H14"/>
    <mergeCell ref="G11:G14"/>
    <mergeCell ref="D15:G15"/>
    <mergeCell ref="H15:H19"/>
    <mergeCell ref="G16:G19"/>
    <mergeCell ref="D20:G20"/>
    <mergeCell ref="H20:H24"/>
    <mergeCell ref="G21:G24"/>
    <mergeCell ref="D25:G25"/>
    <mergeCell ref="H25:H29"/>
    <mergeCell ref="G26:G29"/>
    <mergeCell ref="D30:G30"/>
    <mergeCell ref="H30:H34"/>
    <mergeCell ref="G31:G34"/>
    <mergeCell ref="D35:G35"/>
    <mergeCell ref="H35:H39"/>
    <mergeCell ref="G36:G39"/>
    <mergeCell ref="D40:G40"/>
    <mergeCell ref="H40:H44"/>
    <mergeCell ref="G41:G44"/>
    <mergeCell ref="D45:G45"/>
    <mergeCell ref="H45:H49"/>
    <mergeCell ref="G46:G49"/>
    <mergeCell ref="D50:G50"/>
    <mergeCell ref="H50:H54"/>
    <mergeCell ref="G51:G54"/>
    <mergeCell ref="D55:G55"/>
    <mergeCell ref="H55:H59"/>
    <mergeCell ref="G56:G59"/>
    <mergeCell ref="D60:G60"/>
    <mergeCell ref="H60:H64"/>
    <mergeCell ref="G61:G64"/>
    <mergeCell ref="D65:G65"/>
    <mergeCell ref="H65:H69"/>
    <mergeCell ref="G66:G69"/>
    <mergeCell ref="D70:G70"/>
    <mergeCell ref="H70:H74"/>
    <mergeCell ref="G71:G74"/>
    <mergeCell ref="D75:G75"/>
    <mergeCell ref="H75:H79"/>
    <mergeCell ref="G76:G79"/>
    <mergeCell ref="D80:G80"/>
    <mergeCell ref="H80:H84"/>
    <mergeCell ref="G81:G84"/>
    <mergeCell ref="D85:G85"/>
    <mergeCell ref="H85:H89"/>
    <mergeCell ref="G86:G89"/>
    <mergeCell ref="D90:G90"/>
    <mergeCell ref="H90:H94"/>
    <mergeCell ref="G91:G94"/>
    <mergeCell ref="D95:G95"/>
    <mergeCell ref="H95:H99"/>
    <mergeCell ref="G96:G99"/>
    <mergeCell ref="D100:G100"/>
    <mergeCell ref="H100:H104"/>
    <mergeCell ref="G101:G104"/>
  </mergeCells>
  <dataValidations count="1">
    <dataValidation type="whole" allowBlank="1" showInputMessage="1" showErrorMessage="1" errorTitle="N out of range" error="The N value must be greater than 1 and equal or less than the total data count" sqref="B7 B12 B17 B22 B27 B32 B37 B42 B47 B52 B57 B62 B67 B72 B77 B82 B87 B92 B97 B102">
      <formula1>2</formula1>
      <formula2>H5</formula2>
    </dataValidation>
  </dataValidations>
  <printOptions horizontalCentered="1" verticalCentered="1"/>
  <pageMargins left="0" right="0" top="0" bottom="0" header="0.31496062992125984" footer="0.31496062992125984"/>
  <pageSetup paperSize="9" scale="44" orientation="portrait" r:id="rId1"/>
  <colBreaks count="2" manualBreakCount="2">
    <brk id="8" max="79" man="1"/>
    <brk id="13" max="99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J141"/>
  <sheetViews>
    <sheetView workbookViewId="0">
      <selection activeCell="E8" sqref="E8"/>
    </sheetView>
  </sheetViews>
  <sheetFormatPr defaultRowHeight="15" x14ac:dyDescent="0.25"/>
  <cols>
    <col min="1" max="1" width="11.42578125" bestFit="1" customWidth="1"/>
    <col min="2" max="2" width="20.85546875" bestFit="1" customWidth="1"/>
    <col min="3" max="3" width="16.5703125" bestFit="1" customWidth="1"/>
    <col min="4" max="4" width="27.85546875" bestFit="1" customWidth="1"/>
    <col min="5" max="5" width="21" bestFit="1" customWidth="1"/>
    <col min="6" max="6" width="18.28515625" customWidth="1"/>
    <col min="7" max="60" width="10.7109375" bestFit="1" customWidth="1"/>
  </cols>
  <sheetData>
    <row r="1" spans="1:62" x14ac:dyDescent="0.25">
      <c r="A1" t="s">
        <v>28</v>
      </c>
      <c r="B1" s="18">
        <v>0.50347222222222221</v>
      </c>
    </row>
    <row r="2" spans="1:62" x14ac:dyDescent="0.25">
      <c r="A2" s="3">
        <v>46169</v>
      </c>
      <c r="B2" s="3">
        <v>46169</v>
      </c>
      <c r="C2" s="3">
        <v>46169</v>
      </c>
      <c r="D2" s="3">
        <v>46169</v>
      </c>
      <c r="E2" s="3">
        <v>46170</v>
      </c>
      <c r="F2" s="3">
        <v>46170</v>
      </c>
      <c r="G2" s="3">
        <v>46171</v>
      </c>
      <c r="H2" s="3">
        <v>46171</v>
      </c>
      <c r="I2" s="3">
        <v>46171</v>
      </c>
      <c r="J2" s="3">
        <v>46171</v>
      </c>
      <c r="K2" s="3">
        <v>46172</v>
      </c>
      <c r="L2" s="3">
        <v>46172</v>
      </c>
      <c r="M2" s="3">
        <v>46172</v>
      </c>
      <c r="N2" s="3">
        <v>46174</v>
      </c>
      <c r="O2" s="3">
        <v>46174</v>
      </c>
      <c r="P2" s="3">
        <v>46174</v>
      </c>
      <c r="Q2" s="3">
        <v>46174</v>
      </c>
      <c r="R2" s="3">
        <v>46175</v>
      </c>
      <c r="S2" s="3">
        <v>46175</v>
      </c>
      <c r="T2" s="3">
        <v>46175</v>
      </c>
      <c r="U2" s="3">
        <v>46176</v>
      </c>
      <c r="V2" s="3">
        <v>46176</v>
      </c>
      <c r="W2" s="3">
        <v>46176</v>
      </c>
      <c r="X2" s="3">
        <v>46176</v>
      </c>
      <c r="Y2" s="3">
        <v>46176</v>
      </c>
      <c r="Z2" s="3">
        <v>46176</v>
      </c>
      <c r="AA2" s="3">
        <v>46176</v>
      </c>
      <c r="AB2" s="3">
        <v>46177</v>
      </c>
      <c r="AC2" s="3">
        <v>46178</v>
      </c>
      <c r="AD2" s="3">
        <v>46178</v>
      </c>
      <c r="AE2" s="3">
        <v>46178</v>
      </c>
      <c r="AF2" s="3">
        <v>46179</v>
      </c>
      <c r="AG2" s="3">
        <v>46180</v>
      </c>
      <c r="AH2" s="3">
        <v>46180</v>
      </c>
      <c r="AI2" s="3">
        <v>46180</v>
      </c>
      <c r="AJ2" s="3">
        <v>46180</v>
      </c>
      <c r="AK2" s="3">
        <v>46181</v>
      </c>
      <c r="AL2" s="3">
        <v>46181</v>
      </c>
      <c r="AM2" s="3">
        <v>46181</v>
      </c>
      <c r="AN2" s="3">
        <v>46181</v>
      </c>
      <c r="AO2" s="3">
        <v>46181</v>
      </c>
      <c r="AP2" s="3">
        <v>46182</v>
      </c>
      <c r="AQ2" s="3">
        <v>46182</v>
      </c>
      <c r="AR2" s="3">
        <v>46182</v>
      </c>
      <c r="AS2" s="3">
        <v>46182</v>
      </c>
      <c r="AT2" s="3">
        <v>46182</v>
      </c>
      <c r="AU2" s="3">
        <v>46183</v>
      </c>
      <c r="AV2" s="3">
        <v>46183</v>
      </c>
      <c r="AW2" s="3">
        <v>46183</v>
      </c>
      <c r="AX2" s="3">
        <v>46183</v>
      </c>
      <c r="AY2" s="3">
        <v>46183</v>
      </c>
      <c r="AZ2" s="3">
        <v>46184</v>
      </c>
      <c r="BA2" s="3">
        <v>46184</v>
      </c>
      <c r="BB2" s="3">
        <v>46184</v>
      </c>
      <c r="BC2" s="3">
        <v>46184</v>
      </c>
      <c r="BD2" s="3">
        <v>46184</v>
      </c>
      <c r="BE2" s="3">
        <v>46185</v>
      </c>
      <c r="BF2" s="3">
        <v>46185</v>
      </c>
      <c r="BG2" s="3">
        <v>46185</v>
      </c>
      <c r="BH2" s="3">
        <v>46185</v>
      </c>
      <c r="BI2" s="3">
        <v>46186</v>
      </c>
      <c r="BJ2" s="3">
        <v>46186</v>
      </c>
    </row>
    <row r="3" spans="1:62" x14ac:dyDescent="0.25">
      <c r="A3">
        <v>816948</v>
      </c>
      <c r="B3">
        <v>816987</v>
      </c>
      <c r="C3">
        <v>816998</v>
      </c>
      <c r="D3">
        <v>817092</v>
      </c>
      <c r="E3">
        <v>817353</v>
      </c>
      <c r="F3">
        <v>817441</v>
      </c>
      <c r="G3">
        <v>817773</v>
      </c>
      <c r="H3">
        <v>817861</v>
      </c>
      <c r="I3">
        <v>817943</v>
      </c>
      <c r="J3">
        <v>817985</v>
      </c>
      <c r="K3">
        <v>818214</v>
      </c>
      <c r="L3">
        <v>818254</v>
      </c>
      <c r="M3">
        <v>818291</v>
      </c>
      <c r="N3">
        <v>818439</v>
      </c>
      <c r="O3">
        <v>818580</v>
      </c>
      <c r="P3">
        <v>818627</v>
      </c>
      <c r="Q3">
        <v>818667</v>
      </c>
      <c r="R3">
        <v>818839</v>
      </c>
      <c r="S3">
        <v>818934</v>
      </c>
      <c r="T3">
        <v>819019</v>
      </c>
      <c r="U3">
        <v>819103</v>
      </c>
      <c r="V3">
        <v>819271</v>
      </c>
      <c r="W3">
        <v>819315</v>
      </c>
      <c r="X3">
        <v>819370</v>
      </c>
      <c r="Y3">
        <v>819445</v>
      </c>
      <c r="Z3">
        <v>819491</v>
      </c>
      <c r="AA3">
        <v>819533</v>
      </c>
      <c r="AB3">
        <v>819706</v>
      </c>
      <c r="AC3">
        <v>819995</v>
      </c>
      <c r="AD3">
        <v>820041</v>
      </c>
      <c r="AE3">
        <v>820088</v>
      </c>
      <c r="AF3">
        <v>820271</v>
      </c>
      <c r="AG3">
        <v>820495</v>
      </c>
      <c r="AH3">
        <v>820568</v>
      </c>
      <c r="AI3">
        <v>820630</v>
      </c>
      <c r="AJ3">
        <v>820670</v>
      </c>
      <c r="AK3">
        <v>820873</v>
      </c>
      <c r="AL3">
        <v>820921</v>
      </c>
      <c r="AM3">
        <v>820957</v>
      </c>
      <c r="AN3">
        <v>821024</v>
      </c>
      <c r="AO3">
        <v>821060</v>
      </c>
      <c r="AP3">
        <v>821288</v>
      </c>
      <c r="AQ3">
        <v>821319</v>
      </c>
      <c r="AR3">
        <v>821356</v>
      </c>
      <c r="AS3">
        <v>821451</v>
      </c>
      <c r="AT3">
        <v>821500</v>
      </c>
      <c r="AU3">
        <v>821710</v>
      </c>
      <c r="AV3">
        <v>821754</v>
      </c>
      <c r="AW3">
        <v>821805</v>
      </c>
      <c r="AX3">
        <v>821885</v>
      </c>
      <c r="AY3">
        <v>821931</v>
      </c>
      <c r="AZ3">
        <v>822143</v>
      </c>
      <c r="BA3">
        <v>822185</v>
      </c>
      <c r="BB3">
        <v>822236</v>
      </c>
      <c r="BC3">
        <v>822306</v>
      </c>
      <c r="BD3">
        <v>822352</v>
      </c>
      <c r="BE3">
        <v>822558</v>
      </c>
      <c r="BF3">
        <v>822647</v>
      </c>
      <c r="BG3">
        <v>822737</v>
      </c>
      <c r="BH3">
        <v>822777</v>
      </c>
      <c r="BI3">
        <v>823003</v>
      </c>
      <c r="BJ3">
        <v>823082</v>
      </c>
    </row>
    <row r="4" spans="1:62" x14ac:dyDescent="0.25">
      <c r="A4">
        <v>226.2</v>
      </c>
      <c r="B4">
        <v>226.2</v>
      </c>
      <c r="C4">
        <v>226.2</v>
      </c>
      <c r="D4">
        <v>226.2</v>
      </c>
      <c r="E4">
        <v>226.2</v>
      </c>
      <c r="F4">
        <v>226.2</v>
      </c>
      <c r="G4">
        <v>226.2</v>
      </c>
      <c r="H4">
        <v>226.2</v>
      </c>
      <c r="I4">
        <v>226.2</v>
      </c>
      <c r="J4">
        <v>226.2</v>
      </c>
      <c r="K4">
        <v>226.2</v>
      </c>
      <c r="L4">
        <v>226.2</v>
      </c>
      <c r="M4">
        <v>226.2</v>
      </c>
      <c r="N4">
        <v>226.2</v>
      </c>
      <c r="O4">
        <v>226.2</v>
      </c>
      <c r="P4">
        <v>226.2</v>
      </c>
      <c r="Q4">
        <v>226.2</v>
      </c>
      <c r="R4">
        <v>226.2</v>
      </c>
      <c r="S4">
        <v>226.2</v>
      </c>
      <c r="T4">
        <v>226.2</v>
      </c>
      <c r="U4">
        <v>226.2</v>
      </c>
      <c r="V4">
        <v>226.2</v>
      </c>
      <c r="W4">
        <v>226.2</v>
      </c>
      <c r="X4">
        <v>226.2</v>
      </c>
      <c r="Y4">
        <v>226.2</v>
      </c>
      <c r="Z4">
        <v>226.2</v>
      </c>
      <c r="AA4">
        <v>226.2</v>
      </c>
      <c r="AB4">
        <v>226.2</v>
      </c>
      <c r="AC4">
        <v>226.2</v>
      </c>
      <c r="AD4">
        <v>226.2</v>
      </c>
      <c r="AE4">
        <v>226.2</v>
      </c>
      <c r="AF4">
        <v>226.2</v>
      </c>
      <c r="AG4">
        <v>226.2</v>
      </c>
      <c r="AH4">
        <v>226.2</v>
      </c>
      <c r="AI4">
        <v>226.2</v>
      </c>
      <c r="AJ4">
        <v>226.2</v>
      </c>
      <c r="AK4">
        <v>226.2</v>
      </c>
      <c r="AL4">
        <v>226.2</v>
      </c>
      <c r="AM4">
        <v>226.2</v>
      </c>
      <c r="AN4">
        <v>226.2</v>
      </c>
      <c r="AO4">
        <v>226.2</v>
      </c>
      <c r="AP4">
        <v>226.2</v>
      </c>
      <c r="AQ4">
        <v>226.2</v>
      </c>
      <c r="AR4">
        <v>226.2</v>
      </c>
      <c r="AS4">
        <v>226.2</v>
      </c>
      <c r="AT4">
        <v>226.2</v>
      </c>
      <c r="AU4">
        <v>226.2</v>
      </c>
      <c r="AV4">
        <v>226.2</v>
      </c>
      <c r="AW4">
        <v>226.2</v>
      </c>
      <c r="AX4">
        <v>226.2</v>
      </c>
      <c r="AY4">
        <v>226.2</v>
      </c>
      <c r="AZ4">
        <v>226.2</v>
      </c>
      <c r="BA4">
        <v>226.2</v>
      </c>
      <c r="BB4">
        <v>226.2</v>
      </c>
      <c r="BC4">
        <v>226.2</v>
      </c>
      <c r="BD4">
        <v>226.2</v>
      </c>
      <c r="BE4">
        <v>226.2</v>
      </c>
      <c r="BF4">
        <v>226.2</v>
      </c>
      <c r="BG4">
        <v>226.2</v>
      </c>
      <c r="BH4">
        <v>226.2</v>
      </c>
      <c r="BI4">
        <v>226.2</v>
      </c>
      <c r="BJ4">
        <v>226.2</v>
      </c>
    </row>
    <row r="5" spans="1:62" x14ac:dyDescent="0.25">
      <c r="A5">
        <v>223.2</v>
      </c>
      <c r="B5">
        <v>223.2</v>
      </c>
      <c r="C5">
        <v>223.2</v>
      </c>
      <c r="D5">
        <v>223.2</v>
      </c>
      <c r="E5">
        <v>223.2</v>
      </c>
      <c r="F5">
        <v>223.2</v>
      </c>
      <c r="G5">
        <v>223.2</v>
      </c>
      <c r="H5">
        <v>223.2</v>
      </c>
      <c r="I5">
        <v>223.2</v>
      </c>
      <c r="J5">
        <v>223.2</v>
      </c>
      <c r="K5">
        <v>223.2</v>
      </c>
      <c r="L5">
        <v>223.2</v>
      </c>
      <c r="M5">
        <v>223.2</v>
      </c>
      <c r="N5">
        <v>223.2</v>
      </c>
      <c r="O5">
        <v>223.2</v>
      </c>
      <c r="P5">
        <v>223.2</v>
      </c>
      <c r="Q5">
        <v>223.2</v>
      </c>
      <c r="R5">
        <v>223.2</v>
      </c>
      <c r="S5">
        <v>223.2</v>
      </c>
      <c r="T5">
        <v>223.2</v>
      </c>
      <c r="U5">
        <v>223.2</v>
      </c>
      <c r="V5">
        <v>223.2</v>
      </c>
      <c r="W5">
        <v>223.2</v>
      </c>
      <c r="X5">
        <v>223.2</v>
      </c>
      <c r="Y5">
        <v>223.2</v>
      </c>
      <c r="Z5">
        <v>223.2</v>
      </c>
      <c r="AA5">
        <v>223.2</v>
      </c>
      <c r="AB5">
        <v>223.2</v>
      </c>
      <c r="AC5">
        <v>223.2</v>
      </c>
      <c r="AD5">
        <v>223.2</v>
      </c>
      <c r="AE5">
        <v>223.2</v>
      </c>
      <c r="AF5">
        <v>223.2</v>
      </c>
      <c r="AG5">
        <v>223.2</v>
      </c>
      <c r="AH5">
        <v>223.2</v>
      </c>
      <c r="AI5">
        <v>223.2</v>
      </c>
      <c r="AJ5">
        <v>223.2</v>
      </c>
      <c r="AK5">
        <v>223.2</v>
      </c>
      <c r="AL5">
        <v>223.2</v>
      </c>
      <c r="AM5">
        <v>223.2</v>
      </c>
      <c r="AN5">
        <v>223.2</v>
      </c>
      <c r="AO5">
        <v>223.2</v>
      </c>
      <c r="AP5">
        <v>223.2</v>
      </c>
      <c r="AQ5">
        <v>223.2</v>
      </c>
      <c r="AR5">
        <v>223.2</v>
      </c>
      <c r="AS5">
        <v>223.2</v>
      </c>
      <c r="AT5">
        <v>223.2</v>
      </c>
      <c r="AU5">
        <v>223.2</v>
      </c>
      <c r="AV5">
        <v>223.2</v>
      </c>
      <c r="AW5">
        <v>223.2</v>
      </c>
      <c r="AX5">
        <v>223.2</v>
      </c>
      <c r="AY5">
        <v>223.2</v>
      </c>
      <c r="AZ5">
        <v>223.2</v>
      </c>
      <c r="BA5">
        <v>223.2</v>
      </c>
      <c r="BB5">
        <v>223.2</v>
      </c>
      <c r="BC5">
        <v>223.2</v>
      </c>
      <c r="BD5">
        <v>223.2</v>
      </c>
      <c r="BE5">
        <v>223.2</v>
      </c>
      <c r="BF5">
        <v>223.2</v>
      </c>
      <c r="BG5">
        <v>223.2</v>
      </c>
      <c r="BH5">
        <v>223.2</v>
      </c>
      <c r="BI5">
        <v>223.2</v>
      </c>
      <c r="BJ5">
        <v>223.2</v>
      </c>
    </row>
    <row r="6" spans="1:62" x14ac:dyDescent="0.25">
      <c r="A6">
        <v>229.2</v>
      </c>
      <c r="B6">
        <v>229.2</v>
      </c>
      <c r="C6">
        <v>229.2</v>
      </c>
      <c r="D6">
        <v>229.2</v>
      </c>
      <c r="E6">
        <v>229.2</v>
      </c>
      <c r="F6">
        <v>229.2</v>
      </c>
      <c r="G6">
        <v>229.2</v>
      </c>
      <c r="H6">
        <v>229.2</v>
      </c>
      <c r="I6">
        <v>229.2</v>
      </c>
      <c r="J6">
        <v>229.2</v>
      </c>
      <c r="K6">
        <v>229.2</v>
      </c>
      <c r="L6">
        <v>229.2</v>
      </c>
      <c r="M6">
        <v>229.2</v>
      </c>
      <c r="N6">
        <v>229.2</v>
      </c>
      <c r="O6">
        <v>229.2</v>
      </c>
      <c r="P6">
        <v>229.2</v>
      </c>
      <c r="Q6">
        <v>229.2</v>
      </c>
      <c r="R6">
        <v>229.2</v>
      </c>
      <c r="S6">
        <v>229.2</v>
      </c>
      <c r="T6">
        <v>229.2</v>
      </c>
      <c r="U6">
        <v>229.2</v>
      </c>
      <c r="V6">
        <v>229.2</v>
      </c>
      <c r="W6">
        <v>229.2</v>
      </c>
      <c r="X6">
        <v>229.2</v>
      </c>
      <c r="Y6">
        <v>229.2</v>
      </c>
      <c r="Z6">
        <v>229.2</v>
      </c>
      <c r="AA6">
        <v>229.2</v>
      </c>
      <c r="AB6">
        <v>229.2</v>
      </c>
      <c r="AC6">
        <v>229.2</v>
      </c>
      <c r="AD6">
        <v>229.2</v>
      </c>
      <c r="AE6">
        <v>229.2</v>
      </c>
      <c r="AF6">
        <v>229.2</v>
      </c>
      <c r="AG6">
        <v>229.2</v>
      </c>
      <c r="AH6">
        <v>229.2</v>
      </c>
      <c r="AI6">
        <v>229.2</v>
      </c>
      <c r="AJ6">
        <v>229.2</v>
      </c>
      <c r="AK6">
        <v>229.2</v>
      </c>
      <c r="AL6">
        <v>229.2</v>
      </c>
      <c r="AM6">
        <v>229.2</v>
      </c>
      <c r="AN6">
        <v>229.2</v>
      </c>
      <c r="AO6">
        <v>229.2</v>
      </c>
      <c r="AP6">
        <v>229.2</v>
      </c>
      <c r="AQ6">
        <v>229.2</v>
      </c>
      <c r="AR6">
        <v>229.2</v>
      </c>
      <c r="AS6">
        <v>229.2</v>
      </c>
      <c r="AT6">
        <v>229.2</v>
      </c>
      <c r="AU6">
        <v>229.2</v>
      </c>
      <c r="AV6">
        <v>229.2</v>
      </c>
      <c r="AW6">
        <v>229.2</v>
      </c>
      <c r="AX6">
        <v>229.2</v>
      </c>
      <c r="AY6">
        <v>229.2</v>
      </c>
      <c r="AZ6">
        <v>229.2</v>
      </c>
      <c r="BA6">
        <v>229.2</v>
      </c>
      <c r="BB6">
        <v>229.2</v>
      </c>
      <c r="BC6">
        <v>229.2</v>
      </c>
      <c r="BD6">
        <v>229.2</v>
      </c>
      <c r="BE6">
        <v>229.2</v>
      </c>
      <c r="BF6">
        <v>229.2</v>
      </c>
      <c r="BG6">
        <v>229.2</v>
      </c>
      <c r="BH6">
        <v>229.2</v>
      </c>
      <c r="BI6">
        <v>229.2</v>
      </c>
      <c r="BJ6">
        <v>229.2</v>
      </c>
    </row>
    <row r="7" spans="1:62" x14ac:dyDescent="0.25">
      <c r="A7">
        <v>226.02</v>
      </c>
      <c r="B7">
        <v>227.21</v>
      </c>
      <c r="C7">
        <v>227.46</v>
      </c>
      <c r="D7">
        <v>227.7</v>
      </c>
      <c r="E7">
        <v>226.5</v>
      </c>
      <c r="F7">
        <v>227</v>
      </c>
      <c r="G7">
        <v>226.7</v>
      </c>
      <c r="H7">
        <v>226</v>
      </c>
      <c r="I7">
        <v>226.5</v>
      </c>
      <c r="J7">
        <v>227.44</v>
      </c>
      <c r="K7">
        <v>226.8</v>
      </c>
      <c r="L7">
        <v>227.06</v>
      </c>
      <c r="M7">
        <v>226.43</v>
      </c>
      <c r="N7">
        <v>227.24</v>
      </c>
      <c r="O7">
        <v>227.23</v>
      </c>
      <c r="P7">
        <v>227.47</v>
      </c>
      <c r="Q7">
        <v>226.74</v>
      </c>
      <c r="R7">
        <v>227.59</v>
      </c>
      <c r="S7">
        <v>227.7</v>
      </c>
      <c r="T7">
        <v>227.2</v>
      </c>
      <c r="U7">
        <v>226.8</v>
      </c>
      <c r="V7">
        <v>227.63</v>
      </c>
      <c r="W7">
        <v>227.2</v>
      </c>
      <c r="X7">
        <v>227.2</v>
      </c>
      <c r="Y7">
        <v>227.3</v>
      </c>
      <c r="Z7">
        <v>227.6</v>
      </c>
      <c r="AA7">
        <v>227.2</v>
      </c>
      <c r="AB7">
        <v>226.95</v>
      </c>
      <c r="AC7">
        <v>225.6</v>
      </c>
      <c r="AD7">
        <v>227.36</v>
      </c>
      <c r="AE7">
        <v>227.37</v>
      </c>
      <c r="AF7">
        <v>226.88</v>
      </c>
      <c r="AG7">
        <v>226.15</v>
      </c>
      <c r="AH7">
        <v>226.36</v>
      </c>
      <c r="AI7">
        <v>226.6</v>
      </c>
      <c r="AJ7">
        <v>226.6</v>
      </c>
      <c r="AK7">
        <v>227.38</v>
      </c>
      <c r="AL7">
        <v>227.08</v>
      </c>
      <c r="AM7">
        <v>226.53</v>
      </c>
      <c r="AN7">
        <v>226.39</v>
      </c>
      <c r="AO7">
        <v>227.43</v>
      </c>
      <c r="AP7">
        <v>226.29</v>
      </c>
      <c r="AQ7">
        <v>227.21</v>
      </c>
      <c r="AR7">
        <v>227.35</v>
      </c>
      <c r="AS7">
        <v>227.29</v>
      </c>
      <c r="AT7">
        <v>227.22</v>
      </c>
      <c r="AU7">
        <v>226.52</v>
      </c>
      <c r="AV7">
        <v>227.16</v>
      </c>
      <c r="AW7">
        <v>227.08</v>
      </c>
      <c r="AX7">
        <v>227.46</v>
      </c>
      <c r="AY7">
        <v>227.17</v>
      </c>
      <c r="AZ7">
        <v>226.42</v>
      </c>
      <c r="BA7">
        <v>227.07</v>
      </c>
      <c r="BB7">
        <v>226.99</v>
      </c>
      <c r="BC7">
        <v>227.01</v>
      </c>
      <c r="BD7">
        <v>226.75</v>
      </c>
      <c r="BE7">
        <v>226.66</v>
      </c>
      <c r="BF7">
        <v>226.84</v>
      </c>
      <c r="BG7">
        <v>226.43</v>
      </c>
      <c r="BH7">
        <v>226.71</v>
      </c>
      <c r="BI7">
        <v>227.62</v>
      </c>
      <c r="BJ7">
        <v>227</v>
      </c>
    </row>
    <row r="8" spans="1:62" x14ac:dyDescent="0.25">
      <c r="A8" t="s">
        <v>29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17</v>
      </c>
      <c r="H8">
        <v>62</v>
      </c>
    </row>
    <row r="9" spans="1:62" x14ac:dyDescent="0.25">
      <c r="A9" s="3">
        <v>46169</v>
      </c>
      <c r="B9" s="3">
        <v>46169</v>
      </c>
      <c r="C9" s="3">
        <v>46169</v>
      </c>
      <c r="D9" s="3">
        <v>46169</v>
      </c>
      <c r="E9" s="3">
        <v>46170</v>
      </c>
      <c r="F9" s="3">
        <v>46170</v>
      </c>
      <c r="G9" s="3">
        <v>46171</v>
      </c>
      <c r="H9" s="3">
        <v>46171</v>
      </c>
      <c r="I9" s="3">
        <v>46171</v>
      </c>
      <c r="J9" s="3">
        <v>46171</v>
      </c>
      <c r="K9" s="3">
        <v>46172</v>
      </c>
      <c r="L9" s="3">
        <v>46172</v>
      </c>
      <c r="M9" s="3">
        <v>46172</v>
      </c>
      <c r="N9" s="3">
        <v>46174</v>
      </c>
      <c r="O9" s="3">
        <v>46174</v>
      </c>
      <c r="P9" s="3">
        <v>46174</v>
      </c>
      <c r="Q9" s="3">
        <v>46174</v>
      </c>
      <c r="R9" s="3">
        <v>46175</v>
      </c>
      <c r="S9" s="3">
        <v>46175</v>
      </c>
      <c r="T9" s="3">
        <v>46175</v>
      </c>
      <c r="U9" s="3">
        <v>46176</v>
      </c>
      <c r="V9" s="3">
        <v>46176</v>
      </c>
      <c r="W9" s="3">
        <v>46176</v>
      </c>
      <c r="X9" s="3">
        <v>46176</v>
      </c>
      <c r="Y9" s="3">
        <v>46176</v>
      </c>
      <c r="Z9" s="3">
        <v>46176</v>
      </c>
      <c r="AA9" s="3">
        <v>46176</v>
      </c>
      <c r="AB9" s="3">
        <v>46177</v>
      </c>
      <c r="AC9" s="3">
        <v>46178</v>
      </c>
      <c r="AD9" s="3">
        <v>46178</v>
      </c>
      <c r="AE9" s="3">
        <v>46178</v>
      </c>
      <c r="AF9" s="3">
        <v>46179</v>
      </c>
      <c r="AG9" s="3">
        <v>46180</v>
      </c>
      <c r="AH9" s="3">
        <v>46180</v>
      </c>
      <c r="AI9" s="3">
        <v>46180</v>
      </c>
      <c r="AJ9" s="3">
        <v>46180</v>
      </c>
      <c r="AK9" s="3">
        <v>46181</v>
      </c>
      <c r="AL9" s="3">
        <v>46181</v>
      </c>
      <c r="AM9" s="3">
        <v>46181</v>
      </c>
      <c r="AN9" s="3">
        <v>46181</v>
      </c>
      <c r="AO9" s="3">
        <v>46181</v>
      </c>
      <c r="AP9" s="3">
        <v>46182</v>
      </c>
      <c r="AQ9" s="3">
        <v>46182</v>
      </c>
      <c r="AR9" s="3">
        <v>46182</v>
      </c>
      <c r="AS9" s="3">
        <v>46182</v>
      </c>
      <c r="AT9" s="3">
        <v>46182</v>
      </c>
      <c r="AU9" s="3">
        <v>46183</v>
      </c>
      <c r="AV9" s="3">
        <v>46183</v>
      </c>
      <c r="AW9" s="3">
        <v>46183</v>
      </c>
      <c r="AX9" s="3">
        <v>46183</v>
      </c>
      <c r="AY9" s="3">
        <v>46183</v>
      </c>
      <c r="AZ9" s="3">
        <v>46184</v>
      </c>
      <c r="BA9" s="3">
        <v>46184</v>
      </c>
      <c r="BB9" s="3">
        <v>46184</v>
      </c>
      <c r="BC9" s="3">
        <v>46184</v>
      </c>
      <c r="BD9" s="3">
        <v>46184</v>
      </c>
      <c r="BE9" s="3">
        <v>46185</v>
      </c>
      <c r="BF9" s="3">
        <v>46185</v>
      </c>
      <c r="BG9" s="3">
        <v>46185</v>
      </c>
      <c r="BH9" s="3">
        <v>46185</v>
      </c>
      <c r="BI9" s="3">
        <v>46186</v>
      </c>
      <c r="BJ9" s="3">
        <v>46186</v>
      </c>
    </row>
    <row r="10" spans="1:62" x14ac:dyDescent="0.25">
      <c r="A10">
        <v>816948</v>
      </c>
      <c r="B10">
        <v>816987</v>
      </c>
      <c r="C10">
        <v>816998</v>
      </c>
      <c r="D10">
        <v>817092</v>
      </c>
      <c r="E10">
        <v>817353</v>
      </c>
      <c r="F10">
        <v>817441</v>
      </c>
      <c r="G10">
        <v>817773</v>
      </c>
      <c r="H10">
        <v>817861</v>
      </c>
      <c r="I10">
        <v>817943</v>
      </c>
      <c r="J10">
        <v>817985</v>
      </c>
      <c r="K10">
        <v>818214</v>
      </c>
      <c r="L10">
        <v>818254</v>
      </c>
      <c r="M10">
        <v>818291</v>
      </c>
      <c r="N10">
        <v>818439</v>
      </c>
      <c r="O10">
        <v>818580</v>
      </c>
      <c r="P10">
        <v>818627</v>
      </c>
      <c r="Q10">
        <v>818667</v>
      </c>
      <c r="R10">
        <v>818839</v>
      </c>
      <c r="S10">
        <v>818934</v>
      </c>
      <c r="T10">
        <v>819019</v>
      </c>
      <c r="U10">
        <v>819103</v>
      </c>
      <c r="V10">
        <v>819271</v>
      </c>
      <c r="W10">
        <v>819315</v>
      </c>
      <c r="X10">
        <v>819370</v>
      </c>
      <c r="Y10">
        <v>819445</v>
      </c>
      <c r="Z10">
        <v>819491</v>
      </c>
      <c r="AA10">
        <v>819533</v>
      </c>
      <c r="AB10">
        <v>819706</v>
      </c>
      <c r="AC10">
        <v>819995</v>
      </c>
      <c r="AD10">
        <v>820041</v>
      </c>
      <c r="AE10">
        <v>820088</v>
      </c>
      <c r="AF10">
        <v>820271</v>
      </c>
      <c r="AG10">
        <v>820495</v>
      </c>
      <c r="AH10">
        <v>820568</v>
      </c>
      <c r="AI10">
        <v>820630</v>
      </c>
      <c r="AJ10">
        <v>820670</v>
      </c>
      <c r="AK10">
        <v>820873</v>
      </c>
      <c r="AL10">
        <v>820921</v>
      </c>
      <c r="AM10">
        <v>820957</v>
      </c>
      <c r="AN10">
        <v>821024</v>
      </c>
      <c r="AO10">
        <v>821060</v>
      </c>
      <c r="AP10">
        <v>821288</v>
      </c>
      <c r="AQ10">
        <v>821319</v>
      </c>
      <c r="AR10">
        <v>821356</v>
      </c>
      <c r="AS10">
        <v>821451</v>
      </c>
      <c r="AT10">
        <v>821500</v>
      </c>
      <c r="AU10">
        <v>821710</v>
      </c>
      <c r="AV10">
        <v>821754</v>
      </c>
      <c r="AW10">
        <v>821805</v>
      </c>
      <c r="AX10">
        <v>821885</v>
      </c>
      <c r="AY10">
        <v>821931</v>
      </c>
      <c r="AZ10">
        <v>822143</v>
      </c>
      <c r="BA10">
        <v>822185</v>
      </c>
      <c r="BB10">
        <v>822236</v>
      </c>
      <c r="BC10">
        <v>822306</v>
      </c>
      <c r="BD10">
        <v>822352</v>
      </c>
      <c r="BE10">
        <v>822558</v>
      </c>
      <c r="BF10">
        <v>822647</v>
      </c>
      <c r="BG10">
        <v>822737</v>
      </c>
      <c r="BH10">
        <v>822777</v>
      </c>
      <c r="BI10">
        <v>823003</v>
      </c>
      <c r="BJ10">
        <v>823082</v>
      </c>
    </row>
    <row r="11" spans="1:62" x14ac:dyDescent="0.25">
      <c r="A11">
        <v>-326</v>
      </c>
      <c r="B11">
        <v>-326</v>
      </c>
      <c r="C11">
        <v>-326</v>
      </c>
      <c r="D11">
        <v>-326</v>
      </c>
      <c r="E11">
        <v>-326</v>
      </c>
      <c r="F11">
        <v>-326</v>
      </c>
      <c r="G11">
        <v>-326</v>
      </c>
      <c r="H11">
        <v>-326</v>
      </c>
      <c r="I11">
        <v>-326</v>
      </c>
      <c r="J11">
        <v>-326</v>
      </c>
      <c r="K11">
        <v>-326</v>
      </c>
      <c r="L11">
        <v>-326</v>
      </c>
      <c r="M11">
        <v>-326</v>
      </c>
      <c r="N11">
        <v>-326</v>
      </c>
      <c r="O11">
        <v>-326</v>
      </c>
      <c r="P11">
        <v>-326</v>
      </c>
      <c r="Q11">
        <v>-326</v>
      </c>
      <c r="R11">
        <v>-326</v>
      </c>
      <c r="S11">
        <v>-326</v>
      </c>
      <c r="T11">
        <v>-326</v>
      </c>
      <c r="U11">
        <v>-326</v>
      </c>
      <c r="V11">
        <v>-326</v>
      </c>
      <c r="W11">
        <v>-326</v>
      </c>
      <c r="X11">
        <v>-326</v>
      </c>
      <c r="Y11">
        <v>-326</v>
      </c>
      <c r="Z11">
        <v>-326</v>
      </c>
      <c r="AA11">
        <v>-326</v>
      </c>
      <c r="AB11">
        <v>-326</v>
      </c>
      <c r="AC11">
        <v>-326</v>
      </c>
      <c r="AD11">
        <v>-326</v>
      </c>
      <c r="AE11">
        <v>-326</v>
      </c>
      <c r="AF11">
        <v>-326</v>
      </c>
      <c r="AG11">
        <v>-326</v>
      </c>
      <c r="AH11">
        <v>-326</v>
      </c>
      <c r="AI11">
        <v>-326</v>
      </c>
      <c r="AJ11">
        <v>-326</v>
      </c>
      <c r="AK11">
        <v>-326</v>
      </c>
      <c r="AL11">
        <v>-326</v>
      </c>
      <c r="AM11">
        <v>-326</v>
      </c>
      <c r="AN11">
        <v>-326</v>
      </c>
      <c r="AO11">
        <v>-326</v>
      </c>
      <c r="AP11">
        <v>-326</v>
      </c>
      <c r="AQ11">
        <v>-326</v>
      </c>
      <c r="AR11">
        <v>-326</v>
      </c>
      <c r="AS11">
        <v>-326</v>
      </c>
      <c r="AT11">
        <v>-326</v>
      </c>
      <c r="AU11">
        <v>-326</v>
      </c>
      <c r="AV11">
        <v>-326</v>
      </c>
      <c r="AW11">
        <v>-326</v>
      </c>
      <c r="AX11">
        <v>-326</v>
      </c>
      <c r="AY11">
        <v>-326</v>
      </c>
      <c r="AZ11">
        <v>-326</v>
      </c>
      <c r="BA11">
        <v>-326</v>
      </c>
      <c r="BB11">
        <v>-326</v>
      </c>
      <c r="BC11">
        <v>-326</v>
      </c>
      <c r="BD11">
        <v>-326</v>
      </c>
      <c r="BE11">
        <v>-326</v>
      </c>
      <c r="BF11">
        <v>-326</v>
      </c>
      <c r="BG11">
        <v>-326</v>
      </c>
      <c r="BH11">
        <v>-326</v>
      </c>
      <c r="BI11">
        <v>-326</v>
      </c>
      <c r="BJ11">
        <v>-326</v>
      </c>
    </row>
    <row r="12" spans="1:62" x14ac:dyDescent="0.25">
      <c r="A12">
        <v>-329</v>
      </c>
      <c r="B12">
        <v>-329</v>
      </c>
      <c r="C12">
        <v>-329</v>
      </c>
      <c r="D12">
        <v>-329</v>
      </c>
      <c r="E12">
        <v>-329</v>
      </c>
      <c r="F12">
        <v>-329</v>
      </c>
      <c r="G12">
        <v>-329</v>
      </c>
      <c r="H12">
        <v>-329</v>
      </c>
      <c r="I12">
        <v>-329</v>
      </c>
      <c r="J12">
        <v>-329</v>
      </c>
      <c r="K12">
        <v>-329</v>
      </c>
      <c r="L12">
        <v>-329</v>
      </c>
      <c r="M12">
        <v>-329</v>
      </c>
      <c r="N12">
        <v>-329</v>
      </c>
      <c r="O12">
        <v>-329</v>
      </c>
      <c r="P12">
        <v>-329</v>
      </c>
      <c r="Q12">
        <v>-329</v>
      </c>
      <c r="R12">
        <v>-329</v>
      </c>
      <c r="S12">
        <v>-329</v>
      </c>
      <c r="T12">
        <v>-329</v>
      </c>
      <c r="U12">
        <v>-329</v>
      </c>
      <c r="V12">
        <v>-329</v>
      </c>
      <c r="W12">
        <v>-329</v>
      </c>
      <c r="X12">
        <v>-329</v>
      </c>
      <c r="Y12">
        <v>-329</v>
      </c>
      <c r="Z12">
        <v>-329</v>
      </c>
      <c r="AA12">
        <v>-329</v>
      </c>
      <c r="AB12">
        <v>-329</v>
      </c>
      <c r="AC12">
        <v>-329</v>
      </c>
      <c r="AD12">
        <v>-329</v>
      </c>
      <c r="AE12">
        <v>-329</v>
      </c>
      <c r="AF12">
        <v>-329</v>
      </c>
      <c r="AG12">
        <v>-329</v>
      </c>
      <c r="AH12">
        <v>-329</v>
      </c>
      <c r="AI12">
        <v>-329</v>
      </c>
      <c r="AJ12">
        <v>-329</v>
      </c>
      <c r="AK12">
        <v>-329</v>
      </c>
      <c r="AL12">
        <v>-329</v>
      </c>
      <c r="AM12">
        <v>-329</v>
      </c>
      <c r="AN12">
        <v>-329</v>
      </c>
      <c r="AO12">
        <v>-329</v>
      </c>
      <c r="AP12">
        <v>-329</v>
      </c>
      <c r="AQ12">
        <v>-329</v>
      </c>
      <c r="AR12">
        <v>-329</v>
      </c>
      <c r="AS12">
        <v>-329</v>
      </c>
      <c r="AT12">
        <v>-329</v>
      </c>
      <c r="AU12">
        <v>-329</v>
      </c>
      <c r="AV12">
        <v>-329</v>
      </c>
      <c r="AW12">
        <v>-329</v>
      </c>
      <c r="AX12">
        <v>-329</v>
      </c>
      <c r="AY12">
        <v>-329</v>
      </c>
      <c r="AZ12">
        <v>-329</v>
      </c>
      <c r="BA12">
        <v>-329</v>
      </c>
      <c r="BB12">
        <v>-329</v>
      </c>
      <c r="BC12">
        <v>-329</v>
      </c>
      <c r="BD12">
        <v>-329</v>
      </c>
      <c r="BE12">
        <v>-329</v>
      </c>
      <c r="BF12">
        <v>-329</v>
      </c>
      <c r="BG12">
        <v>-329</v>
      </c>
      <c r="BH12">
        <v>-329</v>
      </c>
      <c r="BI12">
        <v>-329</v>
      </c>
      <c r="BJ12">
        <v>-329</v>
      </c>
    </row>
    <row r="13" spans="1:62" x14ac:dyDescent="0.25">
      <c r="A13">
        <v>-323</v>
      </c>
      <c r="B13">
        <v>-323</v>
      </c>
      <c r="C13">
        <v>-323</v>
      </c>
      <c r="D13">
        <v>-323</v>
      </c>
      <c r="E13">
        <v>-323</v>
      </c>
      <c r="F13">
        <v>-323</v>
      </c>
      <c r="G13">
        <v>-323</v>
      </c>
      <c r="H13">
        <v>-323</v>
      </c>
      <c r="I13">
        <v>-323</v>
      </c>
      <c r="J13">
        <v>-323</v>
      </c>
      <c r="K13">
        <v>-323</v>
      </c>
      <c r="L13">
        <v>-323</v>
      </c>
      <c r="M13">
        <v>-323</v>
      </c>
      <c r="N13">
        <v>-323</v>
      </c>
      <c r="O13">
        <v>-323</v>
      </c>
      <c r="P13">
        <v>-323</v>
      </c>
      <c r="Q13">
        <v>-323</v>
      </c>
      <c r="R13">
        <v>-323</v>
      </c>
      <c r="S13">
        <v>-323</v>
      </c>
      <c r="T13">
        <v>-323</v>
      </c>
      <c r="U13">
        <v>-323</v>
      </c>
      <c r="V13">
        <v>-323</v>
      </c>
      <c r="W13">
        <v>-323</v>
      </c>
      <c r="X13">
        <v>-323</v>
      </c>
      <c r="Y13">
        <v>-323</v>
      </c>
      <c r="Z13">
        <v>-323</v>
      </c>
      <c r="AA13">
        <v>-323</v>
      </c>
      <c r="AB13">
        <v>-323</v>
      </c>
      <c r="AC13">
        <v>-323</v>
      </c>
      <c r="AD13">
        <v>-323</v>
      </c>
      <c r="AE13">
        <v>-323</v>
      </c>
      <c r="AF13">
        <v>-323</v>
      </c>
      <c r="AG13">
        <v>-323</v>
      </c>
      <c r="AH13">
        <v>-323</v>
      </c>
      <c r="AI13">
        <v>-323</v>
      </c>
      <c r="AJ13">
        <v>-323</v>
      </c>
      <c r="AK13">
        <v>-323</v>
      </c>
      <c r="AL13">
        <v>-323</v>
      </c>
      <c r="AM13">
        <v>-323</v>
      </c>
      <c r="AN13">
        <v>-323</v>
      </c>
      <c r="AO13">
        <v>-323</v>
      </c>
      <c r="AP13">
        <v>-323</v>
      </c>
      <c r="AQ13">
        <v>-323</v>
      </c>
      <c r="AR13">
        <v>-323</v>
      </c>
      <c r="AS13">
        <v>-323</v>
      </c>
      <c r="AT13">
        <v>-323</v>
      </c>
      <c r="AU13">
        <v>-323</v>
      </c>
      <c r="AV13">
        <v>-323</v>
      </c>
      <c r="AW13">
        <v>-323</v>
      </c>
      <c r="AX13">
        <v>-323</v>
      </c>
      <c r="AY13">
        <v>-323</v>
      </c>
      <c r="AZ13">
        <v>-323</v>
      </c>
      <c r="BA13">
        <v>-323</v>
      </c>
      <c r="BB13">
        <v>-323</v>
      </c>
      <c r="BC13">
        <v>-323</v>
      </c>
      <c r="BD13">
        <v>-323</v>
      </c>
      <c r="BE13">
        <v>-323</v>
      </c>
      <c r="BF13">
        <v>-323</v>
      </c>
      <c r="BG13">
        <v>-323</v>
      </c>
      <c r="BH13">
        <v>-323</v>
      </c>
      <c r="BI13">
        <v>-323</v>
      </c>
      <c r="BJ13">
        <v>-323</v>
      </c>
    </row>
    <row r="14" spans="1:62" x14ac:dyDescent="0.25">
      <c r="A14">
        <v>-327.92</v>
      </c>
      <c r="B14">
        <v>-327.13</v>
      </c>
      <c r="C14">
        <v>-327.52</v>
      </c>
      <c r="D14">
        <v>-326.60000000000002</v>
      </c>
      <c r="E14">
        <v>-327.3</v>
      </c>
      <c r="F14">
        <v>-327.5</v>
      </c>
      <c r="G14">
        <v>-327</v>
      </c>
      <c r="H14">
        <v>-327.9</v>
      </c>
      <c r="I14">
        <v>-327.2</v>
      </c>
      <c r="J14">
        <v>-327.37</v>
      </c>
      <c r="K14">
        <v>-327.39999999999998</v>
      </c>
      <c r="L14">
        <v>-327.58999999999997</v>
      </c>
      <c r="M14">
        <v>-326.39</v>
      </c>
      <c r="N14">
        <v>-327.58</v>
      </c>
      <c r="O14">
        <v>-327.93</v>
      </c>
      <c r="P14">
        <v>-327.49</v>
      </c>
      <c r="Q14">
        <v>-328.24</v>
      </c>
      <c r="R14">
        <v>-327.44</v>
      </c>
      <c r="S14">
        <v>-327.7</v>
      </c>
      <c r="T14">
        <v>-327.5</v>
      </c>
      <c r="U14">
        <v>-329.2</v>
      </c>
      <c r="V14">
        <v>-327.02</v>
      </c>
      <c r="W14">
        <v>-328.2</v>
      </c>
      <c r="X14">
        <v>-329</v>
      </c>
      <c r="Y14">
        <v>-328.6</v>
      </c>
      <c r="Z14">
        <v>-327.23</v>
      </c>
      <c r="AA14">
        <v>-327.98</v>
      </c>
      <c r="AB14">
        <v>-327.52999999999997</v>
      </c>
      <c r="AC14">
        <v>-329.15</v>
      </c>
      <c r="AD14">
        <v>-328.47</v>
      </c>
      <c r="AE14">
        <v>-328.21</v>
      </c>
      <c r="AF14">
        <v>-327.79</v>
      </c>
      <c r="AG14">
        <v>-328.25</v>
      </c>
      <c r="AH14">
        <v>-328.45</v>
      </c>
      <c r="AI14">
        <v>-327</v>
      </c>
      <c r="AJ14">
        <v>-328.52</v>
      </c>
      <c r="AK14">
        <v>-328.44</v>
      </c>
      <c r="AL14">
        <v>-326.79000000000002</v>
      </c>
      <c r="AM14">
        <v>-326.79000000000002</v>
      </c>
      <c r="AN14">
        <v>-326.85000000000002</v>
      </c>
      <c r="AO14">
        <v>-327.08</v>
      </c>
      <c r="AP14">
        <v>-327.17</v>
      </c>
      <c r="AQ14">
        <v>-327.26</v>
      </c>
      <c r="AR14">
        <v>-327.69</v>
      </c>
      <c r="AS14">
        <v>-327.57</v>
      </c>
      <c r="AT14">
        <v>-327.57</v>
      </c>
      <c r="AU14">
        <v>-327.52</v>
      </c>
      <c r="AV14">
        <v>-327.01</v>
      </c>
      <c r="AW14">
        <v>-327.52999999999997</v>
      </c>
      <c r="AX14">
        <v>-327.56</v>
      </c>
      <c r="AY14">
        <v>-326.85000000000002</v>
      </c>
      <c r="AZ14">
        <v>-327.99</v>
      </c>
      <c r="BA14">
        <v>-327.18</v>
      </c>
      <c r="BB14">
        <v>-328.16</v>
      </c>
      <c r="BC14">
        <v>-327.71</v>
      </c>
      <c r="BD14">
        <v>-327.96</v>
      </c>
      <c r="BE14">
        <v>-328.22</v>
      </c>
      <c r="BF14">
        <v>-328.45</v>
      </c>
      <c r="BG14">
        <v>-328.02</v>
      </c>
      <c r="BH14">
        <v>-328.84</v>
      </c>
      <c r="BI14">
        <v>-328.19</v>
      </c>
      <c r="BJ14">
        <v>-327.89</v>
      </c>
    </row>
    <row r="15" spans="1:62" x14ac:dyDescent="0.25">
      <c r="A15" t="s">
        <v>29</v>
      </c>
      <c r="B15" t="s">
        <v>30</v>
      </c>
      <c r="C15" t="s">
        <v>31</v>
      </c>
      <c r="D15" t="s">
        <v>32</v>
      </c>
      <c r="E15" t="s">
        <v>35</v>
      </c>
      <c r="F15" t="s">
        <v>36</v>
      </c>
      <c r="G15" t="s">
        <v>22</v>
      </c>
      <c r="H15">
        <v>62</v>
      </c>
    </row>
    <row r="16" spans="1:62" x14ac:dyDescent="0.25">
      <c r="A16" s="3">
        <v>46169</v>
      </c>
      <c r="B16" s="3">
        <v>46169</v>
      </c>
      <c r="C16" s="3">
        <v>46169</v>
      </c>
      <c r="D16" s="3">
        <v>46169</v>
      </c>
      <c r="E16" s="3">
        <v>46170</v>
      </c>
      <c r="F16" s="3">
        <v>46170</v>
      </c>
      <c r="G16" s="3">
        <v>46171</v>
      </c>
      <c r="H16" s="3">
        <v>46171</v>
      </c>
      <c r="I16" s="3">
        <v>46171</v>
      </c>
      <c r="J16" s="3">
        <v>46171</v>
      </c>
      <c r="K16" s="3">
        <v>46172</v>
      </c>
      <c r="L16" s="3">
        <v>46172</v>
      </c>
      <c r="M16" s="3">
        <v>46172</v>
      </c>
      <c r="N16" s="3">
        <v>46174</v>
      </c>
      <c r="O16" s="3">
        <v>46174</v>
      </c>
      <c r="P16" s="3">
        <v>46174</v>
      </c>
      <c r="Q16" s="3">
        <v>46174</v>
      </c>
      <c r="R16" s="3">
        <v>46175</v>
      </c>
      <c r="S16" s="3">
        <v>46175</v>
      </c>
      <c r="T16" s="3">
        <v>46175</v>
      </c>
      <c r="U16" s="3">
        <v>46176</v>
      </c>
      <c r="V16" s="3">
        <v>46176</v>
      </c>
      <c r="W16" s="3">
        <v>46176</v>
      </c>
      <c r="X16" s="3">
        <v>46176</v>
      </c>
      <c r="Y16" s="3">
        <v>46176</v>
      </c>
      <c r="Z16" s="3">
        <v>46176</v>
      </c>
      <c r="AA16" s="3">
        <v>46176</v>
      </c>
      <c r="AB16" s="3">
        <v>46177</v>
      </c>
      <c r="AC16" s="3">
        <v>46178</v>
      </c>
      <c r="AD16" s="3">
        <v>46178</v>
      </c>
      <c r="AE16" s="3">
        <v>46178</v>
      </c>
      <c r="AF16" s="3">
        <v>46179</v>
      </c>
      <c r="AG16" s="3">
        <v>46180</v>
      </c>
      <c r="AH16" s="3">
        <v>46180</v>
      </c>
      <c r="AI16" s="3">
        <v>46180</v>
      </c>
      <c r="AJ16" s="3">
        <v>46180</v>
      </c>
      <c r="AK16" s="3">
        <v>46181</v>
      </c>
      <c r="AL16" s="3">
        <v>46181</v>
      </c>
      <c r="AM16" s="3">
        <v>46181</v>
      </c>
      <c r="AN16" s="3">
        <v>46181</v>
      </c>
      <c r="AO16" s="3">
        <v>46181</v>
      </c>
      <c r="AP16" s="3">
        <v>46182</v>
      </c>
      <c r="AQ16" s="3">
        <v>46182</v>
      </c>
      <c r="AR16" s="3">
        <v>46182</v>
      </c>
      <c r="AS16" s="3">
        <v>46182</v>
      </c>
      <c r="AT16" s="3">
        <v>46182</v>
      </c>
      <c r="AU16" s="3">
        <v>46183</v>
      </c>
      <c r="AV16" s="3">
        <v>46183</v>
      </c>
      <c r="AW16" s="3">
        <v>46183</v>
      </c>
      <c r="AX16" s="3">
        <v>46183</v>
      </c>
      <c r="AY16" s="3">
        <v>46183</v>
      </c>
      <c r="AZ16" s="3">
        <v>46184</v>
      </c>
      <c r="BA16" s="3">
        <v>46184</v>
      </c>
      <c r="BB16" s="3">
        <v>46184</v>
      </c>
      <c r="BC16" s="3">
        <v>46184</v>
      </c>
      <c r="BD16" s="3">
        <v>46184</v>
      </c>
      <c r="BE16" s="3">
        <v>46185</v>
      </c>
      <c r="BF16" s="3">
        <v>46185</v>
      </c>
      <c r="BG16" s="3">
        <v>46185</v>
      </c>
      <c r="BH16" s="3">
        <v>46185</v>
      </c>
      <c r="BI16" s="3">
        <v>46186</v>
      </c>
      <c r="BJ16" s="3">
        <v>46186</v>
      </c>
    </row>
    <row r="17" spans="1:62" x14ac:dyDescent="0.25">
      <c r="A17">
        <v>816948</v>
      </c>
      <c r="B17">
        <v>816987</v>
      </c>
      <c r="C17">
        <v>816998</v>
      </c>
      <c r="D17">
        <v>817092</v>
      </c>
      <c r="E17">
        <v>817353</v>
      </c>
      <c r="F17">
        <v>817441</v>
      </c>
      <c r="G17">
        <v>817773</v>
      </c>
      <c r="H17">
        <v>817861</v>
      </c>
      <c r="I17">
        <v>817943</v>
      </c>
      <c r="J17">
        <v>817985</v>
      </c>
      <c r="K17">
        <v>818214</v>
      </c>
      <c r="L17">
        <v>818254</v>
      </c>
      <c r="M17">
        <v>818291</v>
      </c>
      <c r="N17">
        <v>818439</v>
      </c>
      <c r="O17">
        <v>818580</v>
      </c>
      <c r="P17">
        <v>818627</v>
      </c>
      <c r="Q17">
        <v>818667</v>
      </c>
      <c r="R17">
        <v>818839</v>
      </c>
      <c r="S17">
        <v>818934</v>
      </c>
      <c r="T17">
        <v>819019</v>
      </c>
      <c r="U17">
        <v>819103</v>
      </c>
      <c r="V17">
        <v>819271</v>
      </c>
      <c r="W17">
        <v>819315</v>
      </c>
      <c r="X17">
        <v>819370</v>
      </c>
      <c r="Y17">
        <v>819445</v>
      </c>
      <c r="Z17">
        <v>819491</v>
      </c>
      <c r="AA17">
        <v>819533</v>
      </c>
      <c r="AB17">
        <v>819706</v>
      </c>
      <c r="AC17">
        <v>819995</v>
      </c>
      <c r="AD17">
        <v>820041</v>
      </c>
      <c r="AE17">
        <v>820088</v>
      </c>
      <c r="AF17">
        <v>820271</v>
      </c>
      <c r="AG17">
        <v>820495</v>
      </c>
      <c r="AH17">
        <v>820568</v>
      </c>
      <c r="AI17">
        <v>820630</v>
      </c>
      <c r="AJ17">
        <v>820670</v>
      </c>
      <c r="AK17">
        <v>820873</v>
      </c>
      <c r="AL17">
        <v>820921</v>
      </c>
      <c r="AM17">
        <v>820957</v>
      </c>
      <c r="AN17">
        <v>821024</v>
      </c>
      <c r="AO17">
        <v>821060</v>
      </c>
      <c r="AP17">
        <v>821288</v>
      </c>
      <c r="AQ17">
        <v>821319</v>
      </c>
      <c r="AR17">
        <v>821356</v>
      </c>
      <c r="AS17">
        <v>821451</v>
      </c>
      <c r="AT17">
        <v>821500</v>
      </c>
      <c r="AU17">
        <v>821710</v>
      </c>
      <c r="AV17">
        <v>821754</v>
      </c>
      <c r="AW17">
        <v>821805</v>
      </c>
      <c r="AX17">
        <v>821885</v>
      </c>
      <c r="AY17">
        <v>821931</v>
      </c>
      <c r="AZ17">
        <v>822143</v>
      </c>
      <c r="BA17">
        <v>822185</v>
      </c>
      <c r="BB17">
        <v>822236</v>
      </c>
      <c r="BC17">
        <v>822306</v>
      </c>
      <c r="BD17">
        <v>822352</v>
      </c>
      <c r="BE17">
        <v>822558</v>
      </c>
      <c r="BF17">
        <v>822647</v>
      </c>
      <c r="BG17">
        <v>822737</v>
      </c>
      <c r="BH17">
        <v>822777</v>
      </c>
      <c r="BI17">
        <v>823003</v>
      </c>
      <c r="BJ17">
        <v>823082</v>
      </c>
    </row>
    <row r="18" spans="1:62" x14ac:dyDescent="0.25">
      <c r="A18">
        <v>990.2</v>
      </c>
      <c r="B18">
        <v>990.2</v>
      </c>
      <c r="C18">
        <v>990.2</v>
      </c>
      <c r="D18">
        <v>990.2</v>
      </c>
      <c r="E18">
        <v>990.2</v>
      </c>
      <c r="F18">
        <v>990.2</v>
      </c>
      <c r="G18">
        <v>990.2</v>
      </c>
      <c r="H18">
        <v>990.2</v>
      </c>
      <c r="I18">
        <v>990.2</v>
      </c>
      <c r="J18">
        <v>990.2</v>
      </c>
      <c r="K18">
        <v>990.2</v>
      </c>
      <c r="L18">
        <v>990.2</v>
      </c>
      <c r="M18">
        <v>990.2</v>
      </c>
      <c r="N18">
        <v>990.2</v>
      </c>
      <c r="O18">
        <v>990.2</v>
      </c>
      <c r="P18">
        <v>990.2</v>
      </c>
      <c r="Q18">
        <v>990.2</v>
      </c>
      <c r="R18">
        <v>990.2</v>
      </c>
      <c r="S18">
        <v>990.2</v>
      </c>
      <c r="T18">
        <v>990.2</v>
      </c>
      <c r="U18">
        <v>990.2</v>
      </c>
      <c r="V18">
        <v>990.2</v>
      </c>
      <c r="W18">
        <v>990.2</v>
      </c>
      <c r="X18">
        <v>990.2</v>
      </c>
      <c r="Y18">
        <v>990.2</v>
      </c>
      <c r="Z18">
        <v>990.2</v>
      </c>
      <c r="AA18">
        <v>990.2</v>
      </c>
      <c r="AB18">
        <v>990.2</v>
      </c>
      <c r="AC18">
        <v>990.2</v>
      </c>
      <c r="AD18">
        <v>990.2</v>
      </c>
      <c r="AE18">
        <v>990.2</v>
      </c>
      <c r="AF18">
        <v>990.2</v>
      </c>
      <c r="AG18">
        <v>990.2</v>
      </c>
      <c r="AH18">
        <v>990.2</v>
      </c>
      <c r="AI18">
        <v>990.2</v>
      </c>
      <c r="AJ18">
        <v>990.2</v>
      </c>
      <c r="AK18">
        <v>990.2</v>
      </c>
      <c r="AL18">
        <v>990.2</v>
      </c>
      <c r="AM18">
        <v>990.2</v>
      </c>
      <c r="AN18">
        <v>990.2</v>
      </c>
      <c r="AO18">
        <v>990.2</v>
      </c>
      <c r="AP18">
        <v>990.2</v>
      </c>
      <c r="AQ18">
        <v>990.2</v>
      </c>
      <c r="AR18">
        <v>990.2</v>
      </c>
      <c r="AS18">
        <v>990.2</v>
      </c>
      <c r="AT18">
        <v>990.2</v>
      </c>
      <c r="AU18">
        <v>990.2</v>
      </c>
      <c r="AV18">
        <v>990.2</v>
      </c>
      <c r="AW18">
        <v>990.2</v>
      </c>
      <c r="AX18">
        <v>990.2</v>
      </c>
      <c r="AY18">
        <v>990.2</v>
      </c>
      <c r="AZ18">
        <v>990.2</v>
      </c>
      <c r="BA18">
        <v>990.2</v>
      </c>
      <c r="BB18">
        <v>990.2</v>
      </c>
      <c r="BC18">
        <v>990.2</v>
      </c>
      <c r="BD18">
        <v>990.2</v>
      </c>
      <c r="BE18">
        <v>990.2</v>
      </c>
      <c r="BF18">
        <v>990.2</v>
      </c>
      <c r="BG18">
        <v>990.2</v>
      </c>
      <c r="BH18">
        <v>990.2</v>
      </c>
      <c r="BI18">
        <v>990.2</v>
      </c>
      <c r="BJ18">
        <v>990.2</v>
      </c>
    </row>
    <row r="19" spans="1:62" x14ac:dyDescent="0.25">
      <c r="A19">
        <v>987.2</v>
      </c>
      <c r="B19">
        <v>987.2</v>
      </c>
      <c r="C19">
        <v>987.2</v>
      </c>
      <c r="D19">
        <v>987.2</v>
      </c>
      <c r="E19">
        <v>987.2</v>
      </c>
      <c r="F19">
        <v>987.2</v>
      </c>
      <c r="G19">
        <v>987.2</v>
      </c>
      <c r="H19">
        <v>987.2</v>
      </c>
      <c r="I19">
        <v>987.2</v>
      </c>
      <c r="J19">
        <v>987.2</v>
      </c>
      <c r="K19">
        <v>987.2</v>
      </c>
      <c r="L19">
        <v>987.2</v>
      </c>
      <c r="M19">
        <v>987.2</v>
      </c>
      <c r="N19">
        <v>987.2</v>
      </c>
      <c r="O19">
        <v>987.2</v>
      </c>
      <c r="P19">
        <v>987.2</v>
      </c>
      <c r="Q19">
        <v>987.2</v>
      </c>
      <c r="R19">
        <v>987.2</v>
      </c>
      <c r="S19">
        <v>987.2</v>
      </c>
      <c r="T19">
        <v>987.2</v>
      </c>
      <c r="U19">
        <v>987.2</v>
      </c>
      <c r="V19">
        <v>987.2</v>
      </c>
      <c r="W19">
        <v>987.2</v>
      </c>
      <c r="X19">
        <v>987.2</v>
      </c>
      <c r="Y19">
        <v>987.2</v>
      </c>
      <c r="Z19">
        <v>987.2</v>
      </c>
      <c r="AA19">
        <v>987.2</v>
      </c>
      <c r="AB19">
        <v>987.2</v>
      </c>
      <c r="AC19">
        <v>987.2</v>
      </c>
      <c r="AD19">
        <v>987.2</v>
      </c>
      <c r="AE19">
        <v>987.2</v>
      </c>
      <c r="AF19">
        <v>987.2</v>
      </c>
      <c r="AG19">
        <v>987.2</v>
      </c>
      <c r="AH19">
        <v>987.2</v>
      </c>
      <c r="AI19">
        <v>987.2</v>
      </c>
      <c r="AJ19">
        <v>987.2</v>
      </c>
      <c r="AK19">
        <v>987.2</v>
      </c>
      <c r="AL19">
        <v>987.2</v>
      </c>
      <c r="AM19">
        <v>987.2</v>
      </c>
      <c r="AN19">
        <v>987.2</v>
      </c>
      <c r="AO19">
        <v>987.2</v>
      </c>
      <c r="AP19">
        <v>987.2</v>
      </c>
      <c r="AQ19">
        <v>987.2</v>
      </c>
      <c r="AR19">
        <v>987.2</v>
      </c>
      <c r="AS19">
        <v>987.2</v>
      </c>
      <c r="AT19">
        <v>987.2</v>
      </c>
      <c r="AU19">
        <v>987.2</v>
      </c>
      <c r="AV19">
        <v>987.2</v>
      </c>
      <c r="AW19">
        <v>987.2</v>
      </c>
      <c r="AX19">
        <v>987.2</v>
      </c>
      <c r="AY19">
        <v>987.2</v>
      </c>
      <c r="AZ19">
        <v>987.2</v>
      </c>
      <c r="BA19">
        <v>987.2</v>
      </c>
      <c r="BB19">
        <v>987.2</v>
      </c>
      <c r="BC19">
        <v>987.2</v>
      </c>
      <c r="BD19">
        <v>987.2</v>
      </c>
      <c r="BE19">
        <v>987.2</v>
      </c>
      <c r="BF19">
        <v>987.2</v>
      </c>
      <c r="BG19">
        <v>987.2</v>
      </c>
      <c r="BH19">
        <v>987.2</v>
      </c>
      <c r="BI19">
        <v>987.2</v>
      </c>
      <c r="BJ19">
        <v>987.2</v>
      </c>
    </row>
    <row r="20" spans="1:62" x14ac:dyDescent="0.25">
      <c r="A20">
        <v>993.2</v>
      </c>
      <c r="B20">
        <v>993.2</v>
      </c>
      <c r="C20">
        <v>993.2</v>
      </c>
      <c r="D20">
        <v>993.2</v>
      </c>
      <c r="E20">
        <v>993.2</v>
      </c>
      <c r="F20">
        <v>993.2</v>
      </c>
      <c r="G20">
        <v>993.2</v>
      </c>
      <c r="H20">
        <v>993.2</v>
      </c>
      <c r="I20">
        <v>993.2</v>
      </c>
      <c r="J20">
        <v>993.2</v>
      </c>
      <c r="K20">
        <v>993.2</v>
      </c>
      <c r="L20">
        <v>993.2</v>
      </c>
      <c r="M20">
        <v>993.2</v>
      </c>
      <c r="N20">
        <v>993.2</v>
      </c>
      <c r="O20">
        <v>993.2</v>
      </c>
      <c r="P20">
        <v>993.2</v>
      </c>
      <c r="Q20">
        <v>993.2</v>
      </c>
      <c r="R20">
        <v>993.2</v>
      </c>
      <c r="S20">
        <v>993.2</v>
      </c>
      <c r="T20">
        <v>993.2</v>
      </c>
      <c r="U20">
        <v>993.2</v>
      </c>
      <c r="V20">
        <v>993.2</v>
      </c>
      <c r="W20">
        <v>993.2</v>
      </c>
      <c r="X20">
        <v>993.2</v>
      </c>
      <c r="Y20">
        <v>993.2</v>
      </c>
      <c r="Z20">
        <v>993.2</v>
      </c>
      <c r="AA20">
        <v>993.2</v>
      </c>
      <c r="AB20">
        <v>993.2</v>
      </c>
      <c r="AC20">
        <v>993.2</v>
      </c>
      <c r="AD20">
        <v>993.2</v>
      </c>
      <c r="AE20">
        <v>993.2</v>
      </c>
      <c r="AF20">
        <v>993.2</v>
      </c>
      <c r="AG20">
        <v>993.2</v>
      </c>
      <c r="AH20">
        <v>993.2</v>
      </c>
      <c r="AI20">
        <v>993.2</v>
      </c>
      <c r="AJ20">
        <v>993.2</v>
      </c>
      <c r="AK20">
        <v>993.2</v>
      </c>
      <c r="AL20">
        <v>993.2</v>
      </c>
      <c r="AM20">
        <v>993.2</v>
      </c>
      <c r="AN20">
        <v>993.2</v>
      </c>
      <c r="AO20">
        <v>993.2</v>
      </c>
      <c r="AP20">
        <v>993.2</v>
      </c>
      <c r="AQ20">
        <v>993.2</v>
      </c>
      <c r="AR20">
        <v>993.2</v>
      </c>
      <c r="AS20">
        <v>993.2</v>
      </c>
      <c r="AT20">
        <v>993.2</v>
      </c>
      <c r="AU20">
        <v>993.2</v>
      </c>
      <c r="AV20">
        <v>993.2</v>
      </c>
      <c r="AW20">
        <v>993.2</v>
      </c>
      <c r="AX20">
        <v>993.2</v>
      </c>
      <c r="AY20">
        <v>993.2</v>
      </c>
      <c r="AZ20">
        <v>993.2</v>
      </c>
      <c r="BA20">
        <v>993.2</v>
      </c>
      <c r="BB20">
        <v>993.2</v>
      </c>
      <c r="BC20">
        <v>993.2</v>
      </c>
      <c r="BD20">
        <v>993.2</v>
      </c>
      <c r="BE20">
        <v>993.2</v>
      </c>
      <c r="BF20">
        <v>993.2</v>
      </c>
      <c r="BG20">
        <v>993.2</v>
      </c>
      <c r="BH20">
        <v>993.2</v>
      </c>
      <c r="BI20">
        <v>993.2</v>
      </c>
      <c r="BJ20">
        <v>993.2</v>
      </c>
    </row>
    <row r="21" spans="1:62" x14ac:dyDescent="0.25">
      <c r="A21">
        <v>989.14</v>
      </c>
      <c r="B21">
        <v>989.95</v>
      </c>
      <c r="C21">
        <v>989.61</v>
      </c>
      <c r="D21">
        <v>990</v>
      </c>
      <c r="E21">
        <v>989.8</v>
      </c>
      <c r="F21">
        <v>990.3</v>
      </c>
      <c r="G21">
        <v>990.2</v>
      </c>
      <c r="H21">
        <v>989.8</v>
      </c>
      <c r="I21">
        <v>989.9</v>
      </c>
      <c r="J21">
        <v>989.98</v>
      </c>
      <c r="K21">
        <v>989.87</v>
      </c>
      <c r="L21">
        <v>989.86</v>
      </c>
      <c r="M21">
        <v>990.49</v>
      </c>
      <c r="N21">
        <v>989.97</v>
      </c>
      <c r="O21">
        <v>989.71</v>
      </c>
      <c r="P21">
        <v>989.97</v>
      </c>
      <c r="Q21">
        <v>989.18</v>
      </c>
      <c r="R21">
        <v>989.75</v>
      </c>
      <c r="S21">
        <v>989.8</v>
      </c>
      <c r="T21">
        <v>989.9</v>
      </c>
      <c r="U21">
        <v>989.4</v>
      </c>
      <c r="V21">
        <v>990</v>
      </c>
      <c r="W21">
        <v>989.6</v>
      </c>
      <c r="X21">
        <v>989.8</v>
      </c>
      <c r="Y21">
        <v>990.4</v>
      </c>
      <c r="Z21">
        <v>989.97</v>
      </c>
      <c r="AA21">
        <v>990.28</v>
      </c>
      <c r="AB21">
        <v>989.57</v>
      </c>
      <c r="AC21">
        <v>989.34</v>
      </c>
      <c r="AD21">
        <v>989.67</v>
      </c>
      <c r="AE21">
        <v>990</v>
      </c>
      <c r="AF21">
        <v>989.66</v>
      </c>
      <c r="AG21">
        <v>989.47</v>
      </c>
      <c r="AH21">
        <v>989.51</v>
      </c>
      <c r="AI21">
        <v>990.2</v>
      </c>
      <c r="AJ21">
        <v>989.12</v>
      </c>
      <c r="AK21">
        <v>989.85</v>
      </c>
      <c r="AL21">
        <v>990.24</v>
      </c>
      <c r="AM21">
        <v>989.87</v>
      </c>
      <c r="AN21">
        <v>989.55</v>
      </c>
      <c r="AO21">
        <v>989.99</v>
      </c>
      <c r="AP21">
        <v>989.72</v>
      </c>
      <c r="AQ21">
        <v>990.13</v>
      </c>
      <c r="AR21">
        <v>989.8</v>
      </c>
      <c r="AS21">
        <v>989.57</v>
      </c>
      <c r="AT21">
        <v>989.9</v>
      </c>
      <c r="AU21">
        <v>989.7</v>
      </c>
      <c r="AV21">
        <v>990.12</v>
      </c>
      <c r="AW21">
        <v>989.59</v>
      </c>
      <c r="AX21">
        <v>989.53</v>
      </c>
      <c r="AY21">
        <v>990.6</v>
      </c>
      <c r="AZ21">
        <v>989.3</v>
      </c>
      <c r="BA21">
        <v>990.23</v>
      </c>
      <c r="BB21">
        <v>989.59</v>
      </c>
      <c r="BC21">
        <v>989.37</v>
      </c>
      <c r="BD21">
        <v>989.41</v>
      </c>
      <c r="BE21">
        <v>989.71</v>
      </c>
      <c r="BF21">
        <v>989.51</v>
      </c>
      <c r="BG21">
        <v>989.26</v>
      </c>
      <c r="BH21">
        <v>989.33</v>
      </c>
      <c r="BI21">
        <v>989.03</v>
      </c>
      <c r="BJ21">
        <v>989.09</v>
      </c>
    </row>
    <row r="22" spans="1:62" x14ac:dyDescent="0.25">
      <c r="A22" t="s">
        <v>29</v>
      </c>
      <c r="B22" t="s">
        <v>30</v>
      </c>
      <c r="C22" t="s">
        <v>31</v>
      </c>
      <c r="D22" t="s">
        <v>32</v>
      </c>
      <c r="E22" t="s">
        <v>37</v>
      </c>
      <c r="F22" t="s">
        <v>38</v>
      </c>
      <c r="G22" t="s">
        <v>23</v>
      </c>
      <c r="H22">
        <v>62</v>
      </c>
    </row>
    <row r="23" spans="1:62" x14ac:dyDescent="0.25">
      <c r="A23" s="3">
        <v>46169</v>
      </c>
      <c r="B23" s="3">
        <v>46169</v>
      </c>
      <c r="C23" s="3">
        <v>46169</v>
      </c>
      <c r="D23" s="3">
        <v>46169</v>
      </c>
      <c r="E23" s="3">
        <v>46170</v>
      </c>
      <c r="F23" s="3">
        <v>46170</v>
      </c>
      <c r="G23" s="3">
        <v>46171</v>
      </c>
      <c r="H23" s="3">
        <v>46171</v>
      </c>
      <c r="I23" s="3">
        <v>46171</v>
      </c>
      <c r="J23" s="3">
        <v>46171</v>
      </c>
      <c r="K23" s="3">
        <v>46172</v>
      </c>
      <c r="L23" s="3">
        <v>46172</v>
      </c>
      <c r="M23" s="3">
        <v>46172</v>
      </c>
      <c r="N23" s="3">
        <v>46174</v>
      </c>
      <c r="O23" s="3">
        <v>46174</v>
      </c>
      <c r="P23" s="3">
        <v>46174</v>
      </c>
      <c r="Q23" s="3">
        <v>46174</v>
      </c>
      <c r="R23" s="3">
        <v>46175</v>
      </c>
      <c r="S23" s="3">
        <v>46175</v>
      </c>
      <c r="T23" s="3">
        <v>46175</v>
      </c>
      <c r="U23" s="3">
        <v>46176</v>
      </c>
      <c r="V23" s="3">
        <v>46176</v>
      </c>
      <c r="W23" s="3">
        <v>46176</v>
      </c>
      <c r="X23" s="3">
        <v>46176</v>
      </c>
      <c r="Y23" s="3">
        <v>46176</v>
      </c>
      <c r="Z23" s="3">
        <v>46176</v>
      </c>
      <c r="AA23" s="3">
        <v>46176</v>
      </c>
      <c r="AB23" s="3">
        <v>46177</v>
      </c>
      <c r="AC23" s="3">
        <v>46178</v>
      </c>
      <c r="AD23" s="3">
        <v>46178</v>
      </c>
      <c r="AE23" s="3">
        <v>46178</v>
      </c>
      <c r="AF23" s="3">
        <v>46179</v>
      </c>
      <c r="AG23" s="3">
        <v>46180</v>
      </c>
      <c r="AH23" s="3">
        <v>46180</v>
      </c>
      <c r="AI23" s="3">
        <v>46180</v>
      </c>
      <c r="AJ23" s="3">
        <v>46180</v>
      </c>
      <c r="AK23" s="3">
        <v>46181</v>
      </c>
      <c r="AL23" s="3">
        <v>46181</v>
      </c>
      <c r="AM23" s="3">
        <v>46181</v>
      </c>
      <c r="AN23" s="3">
        <v>46181</v>
      </c>
      <c r="AO23" s="3">
        <v>46181</v>
      </c>
      <c r="AP23" s="3">
        <v>46182</v>
      </c>
      <c r="AQ23" s="3">
        <v>46182</v>
      </c>
      <c r="AR23" s="3">
        <v>46182</v>
      </c>
      <c r="AS23" s="3">
        <v>46182</v>
      </c>
      <c r="AT23" s="3">
        <v>46182</v>
      </c>
      <c r="AU23" s="3">
        <v>46183</v>
      </c>
      <c r="AV23" s="3">
        <v>46183</v>
      </c>
      <c r="AW23" s="3">
        <v>46183</v>
      </c>
      <c r="AX23" s="3">
        <v>46183</v>
      </c>
      <c r="AY23" s="3">
        <v>46183</v>
      </c>
      <c r="AZ23" s="3">
        <v>46184</v>
      </c>
      <c r="BA23" s="3">
        <v>46184</v>
      </c>
      <c r="BB23" s="3">
        <v>46184</v>
      </c>
      <c r="BC23" s="3">
        <v>46184</v>
      </c>
      <c r="BD23" s="3">
        <v>46184</v>
      </c>
      <c r="BE23" s="3">
        <v>46185</v>
      </c>
      <c r="BF23" s="3">
        <v>46185</v>
      </c>
      <c r="BG23" s="3">
        <v>46185</v>
      </c>
      <c r="BH23" s="3">
        <v>46185</v>
      </c>
      <c r="BI23" s="3">
        <v>46186</v>
      </c>
      <c r="BJ23" s="3">
        <v>46186</v>
      </c>
    </row>
    <row r="24" spans="1:62" x14ac:dyDescent="0.25">
      <c r="A24">
        <v>816948</v>
      </c>
      <c r="B24">
        <v>816987</v>
      </c>
      <c r="C24">
        <v>816998</v>
      </c>
      <c r="D24">
        <v>817092</v>
      </c>
      <c r="E24">
        <v>817353</v>
      </c>
      <c r="F24">
        <v>817441</v>
      </c>
      <c r="G24">
        <v>817773</v>
      </c>
      <c r="H24">
        <v>817861</v>
      </c>
      <c r="I24">
        <v>817943</v>
      </c>
      <c r="J24">
        <v>817985</v>
      </c>
      <c r="K24">
        <v>818214</v>
      </c>
      <c r="L24">
        <v>818254</v>
      </c>
      <c r="M24">
        <v>818291</v>
      </c>
      <c r="N24">
        <v>818439</v>
      </c>
      <c r="O24">
        <v>818580</v>
      </c>
      <c r="P24">
        <v>818627</v>
      </c>
      <c r="Q24">
        <v>818667</v>
      </c>
      <c r="R24">
        <v>818839</v>
      </c>
      <c r="S24">
        <v>818934</v>
      </c>
      <c r="T24">
        <v>819019</v>
      </c>
      <c r="U24">
        <v>819103</v>
      </c>
      <c r="V24">
        <v>819271</v>
      </c>
      <c r="W24">
        <v>819315</v>
      </c>
      <c r="X24">
        <v>819370</v>
      </c>
      <c r="Y24">
        <v>819445</v>
      </c>
      <c r="Z24">
        <v>819491</v>
      </c>
      <c r="AA24">
        <v>819533</v>
      </c>
      <c r="AB24">
        <v>819706</v>
      </c>
      <c r="AC24">
        <v>819995</v>
      </c>
      <c r="AD24">
        <v>820041</v>
      </c>
      <c r="AE24">
        <v>820088</v>
      </c>
      <c r="AF24">
        <v>820271</v>
      </c>
      <c r="AG24">
        <v>820495</v>
      </c>
      <c r="AH24">
        <v>820568</v>
      </c>
      <c r="AI24">
        <v>820630</v>
      </c>
      <c r="AJ24">
        <v>820670</v>
      </c>
      <c r="AK24">
        <v>820873</v>
      </c>
      <c r="AL24">
        <v>820921</v>
      </c>
      <c r="AM24">
        <v>820957</v>
      </c>
      <c r="AN24">
        <v>821024</v>
      </c>
      <c r="AO24">
        <v>821060</v>
      </c>
      <c r="AP24">
        <v>821288</v>
      </c>
      <c r="AQ24">
        <v>821319</v>
      </c>
      <c r="AR24">
        <v>821356</v>
      </c>
      <c r="AS24">
        <v>821451</v>
      </c>
      <c r="AT24">
        <v>821500</v>
      </c>
      <c r="AU24">
        <v>821710</v>
      </c>
      <c r="AV24">
        <v>821754</v>
      </c>
      <c r="AW24">
        <v>821805</v>
      </c>
      <c r="AX24">
        <v>821885</v>
      </c>
      <c r="AY24">
        <v>821931</v>
      </c>
      <c r="AZ24">
        <v>822143</v>
      </c>
      <c r="BA24">
        <v>822185</v>
      </c>
      <c r="BB24">
        <v>822236</v>
      </c>
      <c r="BC24">
        <v>822306</v>
      </c>
      <c r="BD24">
        <v>822352</v>
      </c>
      <c r="BE24">
        <v>822558</v>
      </c>
      <c r="BF24">
        <v>822647</v>
      </c>
      <c r="BG24">
        <v>822737</v>
      </c>
      <c r="BH24">
        <v>822777</v>
      </c>
      <c r="BI24">
        <v>823003</v>
      </c>
      <c r="BJ24">
        <v>823082</v>
      </c>
    </row>
    <row r="25" spans="1:62" x14ac:dyDescent="0.25">
      <c r="A25">
        <v>226.2</v>
      </c>
      <c r="B25">
        <v>226.2</v>
      </c>
      <c r="C25">
        <v>226.2</v>
      </c>
      <c r="D25">
        <v>226.2</v>
      </c>
      <c r="E25">
        <v>226.2</v>
      </c>
      <c r="F25">
        <v>226.2</v>
      </c>
      <c r="G25">
        <v>226.2</v>
      </c>
      <c r="H25">
        <v>226.2</v>
      </c>
      <c r="I25">
        <v>226.2</v>
      </c>
      <c r="J25">
        <v>226.2</v>
      </c>
      <c r="K25">
        <v>226.2</v>
      </c>
      <c r="L25">
        <v>226.2</v>
      </c>
      <c r="M25">
        <v>226.2</v>
      </c>
      <c r="N25">
        <v>226.2</v>
      </c>
      <c r="O25">
        <v>226.2</v>
      </c>
      <c r="P25">
        <v>226.2</v>
      </c>
      <c r="Q25">
        <v>226.2</v>
      </c>
      <c r="R25">
        <v>226.2</v>
      </c>
      <c r="S25">
        <v>226.2</v>
      </c>
      <c r="T25">
        <v>226.2</v>
      </c>
      <c r="U25">
        <v>226.2</v>
      </c>
      <c r="V25">
        <v>226.2</v>
      </c>
      <c r="W25">
        <v>226.2</v>
      </c>
      <c r="X25">
        <v>226.2</v>
      </c>
      <c r="Y25">
        <v>226.2</v>
      </c>
      <c r="Z25">
        <v>226.2</v>
      </c>
      <c r="AA25">
        <v>226.2</v>
      </c>
      <c r="AB25">
        <v>226.2</v>
      </c>
      <c r="AC25">
        <v>226.2</v>
      </c>
      <c r="AD25">
        <v>226.2</v>
      </c>
      <c r="AE25">
        <v>226.2</v>
      </c>
      <c r="AF25">
        <v>226.2</v>
      </c>
      <c r="AG25">
        <v>226.2</v>
      </c>
      <c r="AH25">
        <v>226.2</v>
      </c>
      <c r="AI25">
        <v>226.2</v>
      </c>
      <c r="AJ25">
        <v>226.2</v>
      </c>
      <c r="AK25">
        <v>226.2</v>
      </c>
      <c r="AL25">
        <v>226.2</v>
      </c>
      <c r="AM25">
        <v>226.2</v>
      </c>
      <c r="AN25">
        <v>226.2</v>
      </c>
      <c r="AO25">
        <v>226.2</v>
      </c>
      <c r="AP25">
        <v>226.2</v>
      </c>
      <c r="AQ25">
        <v>226.2</v>
      </c>
      <c r="AR25">
        <v>226.2</v>
      </c>
      <c r="AS25">
        <v>226.2</v>
      </c>
      <c r="AT25">
        <v>226.2</v>
      </c>
      <c r="AU25">
        <v>226.2</v>
      </c>
      <c r="AV25">
        <v>226.2</v>
      </c>
      <c r="AW25">
        <v>226.2</v>
      </c>
      <c r="AX25">
        <v>226.2</v>
      </c>
      <c r="AY25">
        <v>226.2</v>
      </c>
      <c r="AZ25">
        <v>226.2</v>
      </c>
      <c r="BA25">
        <v>226.2</v>
      </c>
      <c r="BB25">
        <v>226.2</v>
      </c>
      <c r="BC25">
        <v>226.2</v>
      </c>
      <c r="BD25">
        <v>226.2</v>
      </c>
      <c r="BE25">
        <v>226.2</v>
      </c>
      <c r="BF25">
        <v>226.2</v>
      </c>
      <c r="BG25">
        <v>226.2</v>
      </c>
      <c r="BH25">
        <v>226.2</v>
      </c>
      <c r="BI25">
        <v>226.2</v>
      </c>
      <c r="BJ25">
        <v>226.2</v>
      </c>
    </row>
    <row r="26" spans="1:62" x14ac:dyDescent="0.25">
      <c r="A26">
        <v>223.2</v>
      </c>
      <c r="B26">
        <v>223.2</v>
      </c>
      <c r="C26">
        <v>223.2</v>
      </c>
      <c r="D26">
        <v>223.2</v>
      </c>
      <c r="E26">
        <v>223.2</v>
      </c>
      <c r="F26">
        <v>223.2</v>
      </c>
      <c r="G26">
        <v>223.2</v>
      </c>
      <c r="H26">
        <v>223.2</v>
      </c>
      <c r="I26">
        <v>223.2</v>
      </c>
      <c r="J26">
        <v>223.2</v>
      </c>
      <c r="K26">
        <v>223.2</v>
      </c>
      <c r="L26">
        <v>223.2</v>
      </c>
      <c r="M26">
        <v>223.2</v>
      </c>
      <c r="N26">
        <v>223.2</v>
      </c>
      <c r="O26">
        <v>223.2</v>
      </c>
      <c r="P26">
        <v>223.2</v>
      </c>
      <c r="Q26">
        <v>223.2</v>
      </c>
      <c r="R26">
        <v>223.2</v>
      </c>
      <c r="S26">
        <v>223.2</v>
      </c>
      <c r="T26">
        <v>223.2</v>
      </c>
      <c r="U26">
        <v>223.2</v>
      </c>
      <c r="V26">
        <v>223.2</v>
      </c>
      <c r="W26">
        <v>223.2</v>
      </c>
      <c r="X26">
        <v>223.2</v>
      </c>
      <c r="Y26">
        <v>223.2</v>
      </c>
      <c r="Z26">
        <v>223.2</v>
      </c>
      <c r="AA26">
        <v>223.2</v>
      </c>
      <c r="AB26">
        <v>223.2</v>
      </c>
      <c r="AC26">
        <v>223.2</v>
      </c>
      <c r="AD26">
        <v>223.2</v>
      </c>
      <c r="AE26">
        <v>223.2</v>
      </c>
      <c r="AF26">
        <v>223.2</v>
      </c>
      <c r="AG26">
        <v>223.2</v>
      </c>
      <c r="AH26">
        <v>223.2</v>
      </c>
      <c r="AI26">
        <v>223.2</v>
      </c>
      <c r="AJ26">
        <v>223.2</v>
      </c>
      <c r="AK26">
        <v>223.2</v>
      </c>
      <c r="AL26">
        <v>223.2</v>
      </c>
      <c r="AM26">
        <v>223.2</v>
      </c>
      <c r="AN26">
        <v>223.2</v>
      </c>
      <c r="AO26">
        <v>223.2</v>
      </c>
      <c r="AP26">
        <v>223.2</v>
      </c>
      <c r="AQ26">
        <v>223.2</v>
      </c>
      <c r="AR26">
        <v>223.2</v>
      </c>
      <c r="AS26">
        <v>223.2</v>
      </c>
      <c r="AT26">
        <v>223.2</v>
      </c>
      <c r="AU26">
        <v>223.2</v>
      </c>
      <c r="AV26">
        <v>223.2</v>
      </c>
      <c r="AW26">
        <v>223.2</v>
      </c>
      <c r="AX26">
        <v>223.2</v>
      </c>
      <c r="AY26">
        <v>223.2</v>
      </c>
      <c r="AZ26">
        <v>223.2</v>
      </c>
      <c r="BA26">
        <v>223.2</v>
      </c>
      <c r="BB26">
        <v>223.2</v>
      </c>
      <c r="BC26">
        <v>223.2</v>
      </c>
      <c r="BD26">
        <v>223.2</v>
      </c>
      <c r="BE26">
        <v>223.2</v>
      </c>
      <c r="BF26">
        <v>223.2</v>
      </c>
      <c r="BG26">
        <v>223.2</v>
      </c>
      <c r="BH26">
        <v>223.2</v>
      </c>
      <c r="BI26">
        <v>223.2</v>
      </c>
      <c r="BJ26">
        <v>223.2</v>
      </c>
    </row>
    <row r="27" spans="1:62" x14ac:dyDescent="0.25">
      <c r="A27">
        <v>229.2</v>
      </c>
      <c r="B27">
        <v>229.2</v>
      </c>
      <c r="C27">
        <v>229.2</v>
      </c>
      <c r="D27">
        <v>229.2</v>
      </c>
      <c r="E27">
        <v>229.2</v>
      </c>
      <c r="F27">
        <v>229.2</v>
      </c>
      <c r="G27">
        <v>229.2</v>
      </c>
      <c r="H27">
        <v>229.2</v>
      </c>
      <c r="I27">
        <v>229.2</v>
      </c>
      <c r="J27">
        <v>229.2</v>
      </c>
      <c r="K27">
        <v>229.2</v>
      </c>
      <c r="L27">
        <v>229.2</v>
      </c>
      <c r="M27">
        <v>229.2</v>
      </c>
      <c r="N27">
        <v>229.2</v>
      </c>
      <c r="O27">
        <v>229.2</v>
      </c>
      <c r="P27">
        <v>229.2</v>
      </c>
      <c r="Q27">
        <v>229.2</v>
      </c>
      <c r="R27">
        <v>229.2</v>
      </c>
      <c r="S27">
        <v>229.2</v>
      </c>
      <c r="T27">
        <v>229.2</v>
      </c>
      <c r="U27">
        <v>229.2</v>
      </c>
      <c r="V27">
        <v>229.2</v>
      </c>
      <c r="W27">
        <v>229.2</v>
      </c>
      <c r="X27">
        <v>229.2</v>
      </c>
      <c r="Y27">
        <v>229.2</v>
      </c>
      <c r="Z27">
        <v>229.2</v>
      </c>
      <c r="AA27">
        <v>229.2</v>
      </c>
      <c r="AB27">
        <v>229.2</v>
      </c>
      <c r="AC27">
        <v>229.2</v>
      </c>
      <c r="AD27">
        <v>229.2</v>
      </c>
      <c r="AE27">
        <v>229.2</v>
      </c>
      <c r="AF27">
        <v>229.2</v>
      </c>
      <c r="AG27">
        <v>229.2</v>
      </c>
      <c r="AH27">
        <v>229.2</v>
      </c>
      <c r="AI27">
        <v>229.2</v>
      </c>
      <c r="AJ27">
        <v>229.2</v>
      </c>
      <c r="AK27">
        <v>229.2</v>
      </c>
      <c r="AL27">
        <v>229.2</v>
      </c>
      <c r="AM27">
        <v>229.2</v>
      </c>
      <c r="AN27">
        <v>229.2</v>
      </c>
      <c r="AO27">
        <v>229.2</v>
      </c>
      <c r="AP27">
        <v>229.2</v>
      </c>
      <c r="AQ27">
        <v>229.2</v>
      </c>
      <c r="AR27">
        <v>229.2</v>
      </c>
      <c r="AS27">
        <v>229.2</v>
      </c>
      <c r="AT27">
        <v>229.2</v>
      </c>
      <c r="AU27">
        <v>229.2</v>
      </c>
      <c r="AV27">
        <v>229.2</v>
      </c>
      <c r="AW27">
        <v>229.2</v>
      </c>
      <c r="AX27">
        <v>229.2</v>
      </c>
      <c r="AY27">
        <v>229.2</v>
      </c>
      <c r="AZ27">
        <v>229.2</v>
      </c>
      <c r="BA27">
        <v>229.2</v>
      </c>
      <c r="BB27">
        <v>229.2</v>
      </c>
      <c r="BC27">
        <v>229.2</v>
      </c>
      <c r="BD27">
        <v>229.2</v>
      </c>
      <c r="BE27">
        <v>229.2</v>
      </c>
      <c r="BF27">
        <v>229.2</v>
      </c>
      <c r="BG27">
        <v>229.2</v>
      </c>
      <c r="BH27">
        <v>229.2</v>
      </c>
      <c r="BI27">
        <v>229.2</v>
      </c>
      <c r="BJ27">
        <v>229.2</v>
      </c>
    </row>
    <row r="28" spans="1:62" x14ac:dyDescent="0.25">
      <c r="A28">
        <v>225.94</v>
      </c>
      <c r="B28">
        <v>226.49</v>
      </c>
      <c r="C28">
        <v>226.41</v>
      </c>
      <c r="D28">
        <v>226.7</v>
      </c>
      <c r="E28">
        <v>226.3</v>
      </c>
      <c r="F28">
        <v>227.2</v>
      </c>
      <c r="G28">
        <v>226.1</v>
      </c>
      <c r="H28">
        <v>227.8</v>
      </c>
      <c r="I28">
        <v>227.8</v>
      </c>
      <c r="J28">
        <v>227.24</v>
      </c>
      <c r="K28">
        <v>226.15</v>
      </c>
      <c r="L28">
        <v>227.81</v>
      </c>
      <c r="M28">
        <v>227.1</v>
      </c>
      <c r="N28">
        <v>226.61</v>
      </c>
      <c r="O28">
        <v>226.48</v>
      </c>
      <c r="P28">
        <v>226.9</v>
      </c>
      <c r="Q28">
        <v>226.54</v>
      </c>
      <c r="R28">
        <v>226.12</v>
      </c>
      <c r="S28">
        <v>226.7</v>
      </c>
      <c r="T28">
        <v>226.9</v>
      </c>
      <c r="U28">
        <v>227</v>
      </c>
      <c r="V28">
        <v>225.38</v>
      </c>
      <c r="W28">
        <v>227.4</v>
      </c>
      <c r="X28">
        <v>226.2</v>
      </c>
      <c r="Y28">
        <v>226.9</v>
      </c>
      <c r="Z28">
        <v>227.18</v>
      </c>
      <c r="AA28">
        <v>226.75</v>
      </c>
      <c r="AB28">
        <v>225.68</v>
      </c>
      <c r="AC28">
        <v>226.95</v>
      </c>
      <c r="AD28">
        <v>227.18</v>
      </c>
      <c r="AE28">
        <v>227.2</v>
      </c>
      <c r="AF28">
        <v>226.32</v>
      </c>
      <c r="AG28">
        <v>227.29</v>
      </c>
      <c r="AH28">
        <v>227.17</v>
      </c>
      <c r="AI28">
        <v>227.3</v>
      </c>
      <c r="AJ28">
        <v>227.84</v>
      </c>
      <c r="AK28">
        <v>226.27</v>
      </c>
      <c r="AL28">
        <v>226.44</v>
      </c>
      <c r="AM28">
        <v>226.54</v>
      </c>
      <c r="AN28">
        <v>226.75</v>
      </c>
      <c r="AO28">
        <v>226.19</v>
      </c>
      <c r="AP28">
        <v>226.74</v>
      </c>
      <c r="AQ28">
        <v>226.97</v>
      </c>
      <c r="AR28">
        <v>227.51</v>
      </c>
      <c r="AS28">
        <v>227.44</v>
      </c>
      <c r="AT28">
        <v>227.1</v>
      </c>
      <c r="AU28">
        <v>226.53</v>
      </c>
      <c r="AV28">
        <v>227.31</v>
      </c>
      <c r="AW28">
        <v>227.08</v>
      </c>
      <c r="AX28">
        <v>227.47</v>
      </c>
      <c r="AY28">
        <v>227.25</v>
      </c>
      <c r="AZ28">
        <v>227.04</v>
      </c>
      <c r="BA28">
        <v>227.77</v>
      </c>
      <c r="BB28">
        <v>226.93</v>
      </c>
      <c r="BC28">
        <v>227.93</v>
      </c>
      <c r="BD28">
        <v>227.85</v>
      </c>
      <c r="BE28">
        <v>226.42</v>
      </c>
      <c r="BF28">
        <v>227.4</v>
      </c>
      <c r="BG28">
        <v>227.75</v>
      </c>
      <c r="BH28">
        <v>227.06</v>
      </c>
      <c r="BI28">
        <v>225.91</v>
      </c>
      <c r="BJ28">
        <v>226.98</v>
      </c>
    </row>
    <row r="29" spans="1:62" x14ac:dyDescent="0.25">
      <c r="A29" t="s">
        <v>29</v>
      </c>
      <c r="B29" t="s">
        <v>30</v>
      </c>
      <c r="C29" t="s">
        <v>31</v>
      </c>
      <c r="D29" t="s">
        <v>32</v>
      </c>
      <c r="E29" t="s">
        <v>39</v>
      </c>
      <c r="F29" t="s">
        <v>40</v>
      </c>
      <c r="G29" t="s">
        <v>17</v>
      </c>
      <c r="H29">
        <v>62</v>
      </c>
    </row>
    <row r="30" spans="1:62" x14ac:dyDescent="0.25">
      <c r="A30" s="3">
        <v>46169</v>
      </c>
      <c r="B30" s="3">
        <v>46169</v>
      </c>
      <c r="C30" s="3">
        <v>46169</v>
      </c>
      <c r="D30" s="3">
        <v>46169</v>
      </c>
      <c r="E30" s="3">
        <v>46170</v>
      </c>
      <c r="F30" s="3">
        <v>46170</v>
      </c>
      <c r="G30" s="3">
        <v>46171</v>
      </c>
      <c r="H30" s="3">
        <v>46171</v>
      </c>
      <c r="I30" s="3">
        <v>46171</v>
      </c>
      <c r="J30" s="3">
        <v>46171</v>
      </c>
      <c r="K30" s="3">
        <v>46172</v>
      </c>
      <c r="L30" s="3">
        <v>46172</v>
      </c>
      <c r="M30" s="3">
        <v>46172</v>
      </c>
      <c r="N30" s="3">
        <v>46174</v>
      </c>
      <c r="O30" s="3">
        <v>46174</v>
      </c>
      <c r="P30" s="3">
        <v>46174</v>
      </c>
      <c r="Q30" s="3">
        <v>46174</v>
      </c>
      <c r="R30" s="3">
        <v>46175</v>
      </c>
      <c r="S30" s="3">
        <v>46175</v>
      </c>
      <c r="T30" s="3">
        <v>46175</v>
      </c>
      <c r="U30" s="3">
        <v>46176</v>
      </c>
      <c r="V30" s="3">
        <v>46176</v>
      </c>
      <c r="W30" s="3">
        <v>46176</v>
      </c>
      <c r="X30" s="3">
        <v>46176</v>
      </c>
      <c r="Y30" s="3">
        <v>46176</v>
      </c>
      <c r="Z30" s="3">
        <v>46176</v>
      </c>
      <c r="AA30" s="3">
        <v>46176</v>
      </c>
      <c r="AB30" s="3">
        <v>46177</v>
      </c>
      <c r="AC30" s="3">
        <v>46178</v>
      </c>
      <c r="AD30" s="3">
        <v>46178</v>
      </c>
      <c r="AE30" s="3">
        <v>46178</v>
      </c>
      <c r="AF30" s="3">
        <v>46179</v>
      </c>
      <c r="AG30" s="3">
        <v>46180</v>
      </c>
      <c r="AH30" s="3">
        <v>46180</v>
      </c>
      <c r="AI30" s="3">
        <v>46180</v>
      </c>
      <c r="AJ30" s="3">
        <v>46180</v>
      </c>
      <c r="AK30" s="3">
        <v>46181</v>
      </c>
      <c r="AL30" s="3">
        <v>46181</v>
      </c>
      <c r="AM30" s="3">
        <v>46181</v>
      </c>
      <c r="AN30" s="3">
        <v>46181</v>
      </c>
      <c r="AO30" s="3">
        <v>46181</v>
      </c>
      <c r="AP30" s="3">
        <v>46182</v>
      </c>
      <c r="AQ30" s="3">
        <v>46182</v>
      </c>
      <c r="AR30" s="3">
        <v>46182</v>
      </c>
      <c r="AS30" s="3">
        <v>46182</v>
      </c>
      <c r="AT30" s="3">
        <v>46182</v>
      </c>
      <c r="AU30" s="3">
        <v>46183</v>
      </c>
      <c r="AV30" s="3">
        <v>46183</v>
      </c>
      <c r="AW30" s="3">
        <v>46183</v>
      </c>
      <c r="AX30" s="3">
        <v>46183</v>
      </c>
      <c r="AY30" s="3">
        <v>46183</v>
      </c>
      <c r="AZ30" s="3">
        <v>46184</v>
      </c>
      <c r="BA30" s="3">
        <v>46184</v>
      </c>
      <c r="BB30" s="3">
        <v>46184</v>
      </c>
      <c r="BC30" s="3">
        <v>46184</v>
      </c>
      <c r="BD30" s="3">
        <v>46184</v>
      </c>
      <c r="BE30" s="3">
        <v>46185</v>
      </c>
      <c r="BF30" s="3">
        <v>46185</v>
      </c>
      <c r="BG30" s="3">
        <v>46185</v>
      </c>
      <c r="BH30" s="3">
        <v>46185</v>
      </c>
      <c r="BI30" s="3">
        <v>46186</v>
      </c>
      <c r="BJ30" s="3">
        <v>46186</v>
      </c>
    </row>
    <row r="31" spans="1:62" x14ac:dyDescent="0.25">
      <c r="A31">
        <v>816948</v>
      </c>
      <c r="B31">
        <v>816987</v>
      </c>
      <c r="C31">
        <v>816998</v>
      </c>
      <c r="D31">
        <v>817092</v>
      </c>
      <c r="E31">
        <v>817353</v>
      </c>
      <c r="F31">
        <v>817441</v>
      </c>
      <c r="G31">
        <v>817773</v>
      </c>
      <c r="H31">
        <v>817861</v>
      </c>
      <c r="I31">
        <v>817943</v>
      </c>
      <c r="J31">
        <v>817985</v>
      </c>
      <c r="K31">
        <v>818214</v>
      </c>
      <c r="L31">
        <v>818254</v>
      </c>
      <c r="M31">
        <v>818291</v>
      </c>
      <c r="N31">
        <v>818439</v>
      </c>
      <c r="O31">
        <v>818580</v>
      </c>
      <c r="P31">
        <v>818627</v>
      </c>
      <c r="Q31">
        <v>818667</v>
      </c>
      <c r="R31">
        <v>818839</v>
      </c>
      <c r="S31">
        <v>818934</v>
      </c>
      <c r="T31">
        <v>819019</v>
      </c>
      <c r="U31">
        <v>819103</v>
      </c>
      <c r="V31">
        <v>819271</v>
      </c>
      <c r="W31">
        <v>819315</v>
      </c>
      <c r="X31">
        <v>819370</v>
      </c>
      <c r="Y31">
        <v>819445</v>
      </c>
      <c r="Z31">
        <v>819491</v>
      </c>
      <c r="AA31">
        <v>819533</v>
      </c>
      <c r="AB31">
        <v>819706</v>
      </c>
      <c r="AC31">
        <v>819995</v>
      </c>
      <c r="AD31">
        <v>820041</v>
      </c>
      <c r="AE31">
        <v>820088</v>
      </c>
      <c r="AF31">
        <v>820271</v>
      </c>
      <c r="AG31">
        <v>820495</v>
      </c>
      <c r="AH31">
        <v>820568</v>
      </c>
      <c r="AI31">
        <v>820630</v>
      </c>
      <c r="AJ31">
        <v>820670</v>
      </c>
      <c r="AK31">
        <v>820873</v>
      </c>
      <c r="AL31">
        <v>820921</v>
      </c>
      <c r="AM31">
        <v>820957</v>
      </c>
      <c r="AN31">
        <v>821024</v>
      </c>
      <c r="AO31">
        <v>821060</v>
      </c>
      <c r="AP31">
        <v>821288</v>
      </c>
      <c r="AQ31">
        <v>821319</v>
      </c>
      <c r="AR31">
        <v>821356</v>
      </c>
      <c r="AS31">
        <v>821451</v>
      </c>
      <c r="AT31">
        <v>821500</v>
      </c>
      <c r="AU31">
        <v>821710</v>
      </c>
      <c r="AV31">
        <v>821754</v>
      </c>
      <c r="AW31">
        <v>821805</v>
      </c>
      <c r="AX31">
        <v>821885</v>
      </c>
      <c r="AY31">
        <v>821931</v>
      </c>
      <c r="AZ31">
        <v>822143</v>
      </c>
      <c r="BA31">
        <v>822185</v>
      </c>
      <c r="BB31">
        <v>822236</v>
      </c>
      <c r="BC31">
        <v>822306</v>
      </c>
      <c r="BD31">
        <v>822352</v>
      </c>
      <c r="BE31">
        <v>822558</v>
      </c>
      <c r="BF31">
        <v>822647</v>
      </c>
      <c r="BG31">
        <v>822737</v>
      </c>
      <c r="BH31">
        <v>822777</v>
      </c>
      <c r="BI31">
        <v>823003</v>
      </c>
      <c r="BJ31">
        <v>823082</v>
      </c>
    </row>
    <row r="32" spans="1:62" x14ac:dyDescent="0.25">
      <c r="A32">
        <v>326</v>
      </c>
      <c r="B32">
        <v>326</v>
      </c>
      <c r="C32">
        <v>326</v>
      </c>
      <c r="D32">
        <v>326</v>
      </c>
      <c r="E32">
        <v>326</v>
      </c>
      <c r="F32">
        <v>326</v>
      </c>
      <c r="G32">
        <v>326</v>
      </c>
      <c r="H32">
        <v>326</v>
      </c>
      <c r="I32">
        <v>326</v>
      </c>
      <c r="J32">
        <v>326</v>
      </c>
      <c r="K32">
        <v>326</v>
      </c>
      <c r="L32">
        <v>326</v>
      </c>
      <c r="M32">
        <v>326</v>
      </c>
      <c r="N32">
        <v>326</v>
      </c>
      <c r="O32">
        <v>326</v>
      </c>
      <c r="P32">
        <v>326</v>
      </c>
      <c r="Q32">
        <v>326</v>
      </c>
      <c r="R32">
        <v>326</v>
      </c>
      <c r="S32">
        <v>326</v>
      </c>
      <c r="T32">
        <v>326</v>
      </c>
      <c r="U32">
        <v>326</v>
      </c>
      <c r="V32">
        <v>326</v>
      </c>
      <c r="W32">
        <v>326</v>
      </c>
      <c r="X32">
        <v>326</v>
      </c>
      <c r="Y32">
        <v>326</v>
      </c>
      <c r="Z32">
        <v>326</v>
      </c>
      <c r="AA32">
        <v>326</v>
      </c>
      <c r="AB32">
        <v>326</v>
      </c>
      <c r="AC32">
        <v>326</v>
      </c>
      <c r="AD32">
        <v>326</v>
      </c>
      <c r="AE32">
        <v>326</v>
      </c>
      <c r="AF32">
        <v>326</v>
      </c>
      <c r="AG32">
        <v>326</v>
      </c>
      <c r="AH32">
        <v>326</v>
      </c>
      <c r="AI32">
        <v>326</v>
      </c>
      <c r="AJ32">
        <v>326</v>
      </c>
      <c r="AK32">
        <v>326</v>
      </c>
      <c r="AL32">
        <v>326</v>
      </c>
      <c r="AM32">
        <v>326</v>
      </c>
      <c r="AN32">
        <v>326</v>
      </c>
      <c r="AO32">
        <v>326</v>
      </c>
      <c r="AP32">
        <v>326</v>
      </c>
      <c r="AQ32">
        <v>326</v>
      </c>
      <c r="AR32">
        <v>326</v>
      </c>
      <c r="AS32">
        <v>326</v>
      </c>
      <c r="AT32">
        <v>326</v>
      </c>
      <c r="AU32">
        <v>326</v>
      </c>
      <c r="AV32">
        <v>326</v>
      </c>
      <c r="AW32">
        <v>326</v>
      </c>
      <c r="AX32">
        <v>326</v>
      </c>
      <c r="AY32">
        <v>326</v>
      </c>
      <c r="AZ32">
        <v>326</v>
      </c>
      <c r="BA32">
        <v>326</v>
      </c>
      <c r="BB32">
        <v>326</v>
      </c>
      <c r="BC32">
        <v>326</v>
      </c>
      <c r="BD32">
        <v>326</v>
      </c>
      <c r="BE32">
        <v>326</v>
      </c>
      <c r="BF32">
        <v>326</v>
      </c>
      <c r="BG32">
        <v>326</v>
      </c>
      <c r="BH32">
        <v>326</v>
      </c>
      <c r="BI32">
        <v>326</v>
      </c>
      <c r="BJ32">
        <v>326</v>
      </c>
    </row>
    <row r="33" spans="1:62" x14ac:dyDescent="0.25">
      <c r="A33">
        <v>323</v>
      </c>
      <c r="B33">
        <v>323</v>
      </c>
      <c r="C33">
        <v>323</v>
      </c>
      <c r="D33">
        <v>323</v>
      </c>
      <c r="E33">
        <v>323</v>
      </c>
      <c r="F33">
        <v>323</v>
      </c>
      <c r="G33">
        <v>323</v>
      </c>
      <c r="H33">
        <v>323</v>
      </c>
      <c r="I33">
        <v>323</v>
      </c>
      <c r="J33">
        <v>323</v>
      </c>
      <c r="K33">
        <v>323</v>
      </c>
      <c r="L33">
        <v>323</v>
      </c>
      <c r="M33">
        <v>323</v>
      </c>
      <c r="N33">
        <v>323</v>
      </c>
      <c r="O33">
        <v>323</v>
      </c>
      <c r="P33">
        <v>323</v>
      </c>
      <c r="Q33">
        <v>323</v>
      </c>
      <c r="R33">
        <v>323</v>
      </c>
      <c r="S33">
        <v>323</v>
      </c>
      <c r="T33">
        <v>323</v>
      </c>
      <c r="U33">
        <v>323</v>
      </c>
      <c r="V33">
        <v>323</v>
      </c>
      <c r="W33">
        <v>323</v>
      </c>
      <c r="X33">
        <v>323</v>
      </c>
      <c r="Y33">
        <v>323</v>
      </c>
      <c r="Z33">
        <v>323</v>
      </c>
      <c r="AA33">
        <v>323</v>
      </c>
      <c r="AB33">
        <v>323</v>
      </c>
      <c r="AC33">
        <v>323</v>
      </c>
      <c r="AD33">
        <v>323</v>
      </c>
      <c r="AE33">
        <v>323</v>
      </c>
      <c r="AF33">
        <v>323</v>
      </c>
      <c r="AG33">
        <v>323</v>
      </c>
      <c r="AH33">
        <v>323</v>
      </c>
      <c r="AI33">
        <v>323</v>
      </c>
      <c r="AJ33">
        <v>323</v>
      </c>
      <c r="AK33">
        <v>323</v>
      </c>
      <c r="AL33">
        <v>323</v>
      </c>
      <c r="AM33">
        <v>323</v>
      </c>
      <c r="AN33">
        <v>323</v>
      </c>
      <c r="AO33">
        <v>323</v>
      </c>
      <c r="AP33">
        <v>323</v>
      </c>
      <c r="AQ33">
        <v>323</v>
      </c>
      <c r="AR33">
        <v>323</v>
      </c>
      <c r="AS33">
        <v>323</v>
      </c>
      <c r="AT33">
        <v>323</v>
      </c>
      <c r="AU33">
        <v>323</v>
      </c>
      <c r="AV33">
        <v>323</v>
      </c>
      <c r="AW33">
        <v>323</v>
      </c>
      <c r="AX33">
        <v>323</v>
      </c>
      <c r="AY33">
        <v>323</v>
      </c>
      <c r="AZ33">
        <v>323</v>
      </c>
      <c r="BA33">
        <v>323</v>
      </c>
      <c r="BB33">
        <v>323</v>
      </c>
      <c r="BC33">
        <v>323</v>
      </c>
      <c r="BD33">
        <v>323</v>
      </c>
      <c r="BE33">
        <v>323</v>
      </c>
      <c r="BF33">
        <v>323</v>
      </c>
      <c r="BG33">
        <v>323</v>
      </c>
      <c r="BH33">
        <v>323</v>
      </c>
      <c r="BI33">
        <v>323</v>
      </c>
      <c r="BJ33">
        <v>323</v>
      </c>
    </row>
    <row r="34" spans="1:62" x14ac:dyDescent="0.25">
      <c r="A34">
        <v>329</v>
      </c>
      <c r="B34">
        <v>329</v>
      </c>
      <c r="C34">
        <v>329</v>
      </c>
      <c r="D34">
        <v>329</v>
      </c>
      <c r="E34">
        <v>329</v>
      </c>
      <c r="F34">
        <v>329</v>
      </c>
      <c r="G34">
        <v>329</v>
      </c>
      <c r="H34">
        <v>329</v>
      </c>
      <c r="I34">
        <v>329</v>
      </c>
      <c r="J34">
        <v>329</v>
      </c>
      <c r="K34">
        <v>329</v>
      </c>
      <c r="L34">
        <v>329</v>
      </c>
      <c r="M34">
        <v>329</v>
      </c>
      <c r="N34">
        <v>329</v>
      </c>
      <c r="O34">
        <v>329</v>
      </c>
      <c r="P34">
        <v>329</v>
      </c>
      <c r="Q34">
        <v>329</v>
      </c>
      <c r="R34">
        <v>329</v>
      </c>
      <c r="S34">
        <v>329</v>
      </c>
      <c r="T34">
        <v>329</v>
      </c>
      <c r="U34">
        <v>329</v>
      </c>
      <c r="V34">
        <v>329</v>
      </c>
      <c r="W34">
        <v>329</v>
      </c>
      <c r="X34">
        <v>329</v>
      </c>
      <c r="Y34">
        <v>329</v>
      </c>
      <c r="Z34">
        <v>329</v>
      </c>
      <c r="AA34">
        <v>329</v>
      </c>
      <c r="AB34">
        <v>329</v>
      </c>
      <c r="AC34">
        <v>329</v>
      </c>
      <c r="AD34">
        <v>329</v>
      </c>
      <c r="AE34">
        <v>329</v>
      </c>
      <c r="AF34">
        <v>329</v>
      </c>
      <c r="AG34">
        <v>329</v>
      </c>
      <c r="AH34">
        <v>329</v>
      </c>
      <c r="AI34">
        <v>329</v>
      </c>
      <c r="AJ34">
        <v>329</v>
      </c>
      <c r="AK34">
        <v>329</v>
      </c>
      <c r="AL34">
        <v>329</v>
      </c>
      <c r="AM34">
        <v>329</v>
      </c>
      <c r="AN34">
        <v>329</v>
      </c>
      <c r="AO34">
        <v>329</v>
      </c>
      <c r="AP34">
        <v>329</v>
      </c>
      <c r="AQ34">
        <v>329</v>
      </c>
      <c r="AR34">
        <v>329</v>
      </c>
      <c r="AS34">
        <v>329</v>
      </c>
      <c r="AT34">
        <v>329</v>
      </c>
      <c r="AU34">
        <v>329</v>
      </c>
      <c r="AV34">
        <v>329</v>
      </c>
      <c r="AW34">
        <v>329</v>
      </c>
      <c r="AX34">
        <v>329</v>
      </c>
      <c r="AY34">
        <v>329</v>
      </c>
      <c r="AZ34">
        <v>329</v>
      </c>
      <c r="BA34">
        <v>329</v>
      </c>
      <c r="BB34">
        <v>329</v>
      </c>
      <c r="BC34">
        <v>329</v>
      </c>
      <c r="BD34">
        <v>329</v>
      </c>
      <c r="BE34">
        <v>329</v>
      </c>
      <c r="BF34">
        <v>329</v>
      </c>
      <c r="BG34">
        <v>329</v>
      </c>
      <c r="BH34">
        <v>329</v>
      </c>
      <c r="BI34">
        <v>329</v>
      </c>
      <c r="BJ34">
        <v>329</v>
      </c>
    </row>
    <row r="35" spans="1:62" x14ac:dyDescent="0.25">
      <c r="A35">
        <v>327.91</v>
      </c>
      <c r="B35">
        <v>326.58</v>
      </c>
      <c r="C35">
        <v>327.56</v>
      </c>
      <c r="D35">
        <v>327.60000000000002</v>
      </c>
      <c r="E35">
        <v>327</v>
      </c>
      <c r="F35">
        <v>326.89999999999998</v>
      </c>
      <c r="G35">
        <v>328</v>
      </c>
      <c r="H35">
        <v>327.2</v>
      </c>
      <c r="I35">
        <v>327.9</v>
      </c>
      <c r="J35">
        <v>328.87</v>
      </c>
      <c r="K35">
        <v>326.57</v>
      </c>
      <c r="L35">
        <v>326.25</v>
      </c>
      <c r="M35">
        <v>328.07</v>
      </c>
      <c r="N35">
        <v>328.25</v>
      </c>
      <c r="O35">
        <v>326.75</v>
      </c>
      <c r="P35">
        <v>326.35000000000002</v>
      </c>
      <c r="Q35">
        <v>326.44</v>
      </c>
      <c r="R35">
        <v>327.54000000000002</v>
      </c>
      <c r="S35">
        <v>327.39999999999998</v>
      </c>
      <c r="T35">
        <v>326.7</v>
      </c>
      <c r="U35">
        <v>326.3</v>
      </c>
      <c r="V35">
        <v>328.6</v>
      </c>
      <c r="W35">
        <v>326.8</v>
      </c>
      <c r="X35">
        <v>327.39999999999998</v>
      </c>
      <c r="Y35">
        <v>327.5</v>
      </c>
      <c r="Z35">
        <v>326.37</v>
      </c>
      <c r="AA35">
        <v>327.39999999999998</v>
      </c>
      <c r="AB35">
        <v>327.39</v>
      </c>
      <c r="AC35">
        <v>326.97000000000003</v>
      </c>
      <c r="AD35">
        <v>327.24</v>
      </c>
      <c r="AE35">
        <v>326.64</v>
      </c>
      <c r="AF35">
        <v>326.79000000000002</v>
      </c>
      <c r="AG35">
        <v>326.89</v>
      </c>
      <c r="AH35">
        <v>327.55</v>
      </c>
      <c r="AI35">
        <v>327.5</v>
      </c>
      <c r="AJ35">
        <v>327.39</v>
      </c>
      <c r="AK35">
        <v>327.58999999999997</v>
      </c>
      <c r="AL35">
        <v>327.29000000000002</v>
      </c>
      <c r="AM35">
        <v>327.78</v>
      </c>
      <c r="AN35">
        <v>327.86</v>
      </c>
      <c r="AO35">
        <v>327.58</v>
      </c>
      <c r="AP35">
        <v>329.54</v>
      </c>
      <c r="AQ35">
        <v>328.39</v>
      </c>
      <c r="AR35">
        <v>328.22</v>
      </c>
      <c r="AS35">
        <v>327.04000000000002</v>
      </c>
      <c r="AT35">
        <v>328.37</v>
      </c>
      <c r="AU35">
        <v>327.58</v>
      </c>
      <c r="AV35">
        <v>327.16000000000003</v>
      </c>
      <c r="AW35">
        <v>327.04000000000002</v>
      </c>
      <c r="AX35">
        <v>328.18</v>
      </c>
      <c r="AY35">
        <v>328.64</v>
      </c>
      <c r="AZ35">
        <v>328.04</v>
      </c>
      <c r="BA35">
        <v>327.60000000000002</v>
      </c>
      <c r="BB35">
        <v>326.95</v>
      </c>
      <c r="BC35">
        <v>327.52999999999997</v>
      </c>
      <c r="BD35">
        <v>327.54000000000002</v>
      </c>
      <c r="BE35">
        <v>327.31</v>
      </c>
      <c r="BF35">
        <v>327.87</v>
      </c>
      <c r="BG35">
        <v>328.01</v>
      </c>
      <c r="BH35">
        <v>328.86</v>
      </c>
      <c r="BI35">
        <v>328.31</v>
      </c>
      <c r="BJ35">
        <v>326.93</v>
      </c>
    </row>
    <row r="36" spans="1:62" x14ac:dyDescent="0.25">
      <c r="A36" t="s">
        <v>29</v>
      </c>
      <c r="B36" t="s">
        <v>30</v>
      </c>
      <c r="C36" t="s">
        <v>31</v>
      </c>
      <c r="D36" t="s">
        <v>32</v>
      </c>
      <c r="E36" t="s">
        <v>41</v>
      </c>
      <c r="F36" t="s">
        <v>42</v>
      </c>
      <c r="G36" t="s">
        <v>22</v>
      </c>
      <c r="H36">
        <v>62</v>
      </c>
    </row>
    <row r="37" spans="1:62" x14ac:dyDescent="0.25">
      <c r="A37" s="3">
        <v>46169</v>
      </c>
      <c r="B37" s="3">
        <v>46169</v>
      </c>
      <c r="C37" s="3">
        <v>46169</v>
      </c>
      <c r="D37" s="3">
        <v>46169</v>
      </c>
      <c r="E37" s="3">
        <v>46170</v>
      </c>
      <c r="F37" s="3">
        <v>46170</v>
      </c>
      <c r="G37" s="3">
        <v>46171</v>
      </c>
      <c r="H37" s="3">
        <v>46171</v>
      </c>
      <c r="I37" s="3">
        <v>46171</v>
      </c>
      <c r="J37" s="3">
        <v>46171</v>
      </c>
      <c r="K37" s="3">
        <v>46172</v>
      </c>
      <c r="L37" s="3">
        <v>46172</v>
      </c>
      <c r="M37" s="3">
        <v>46172</v>
      </c>
      <c r="N37" s="3">
        <v>46174</v>
      </c>
      <c r="O37" s="3">
        <v>46174</v>
      </c>
      <c r="P37" s="3">
        <v>46174</v>
      </c>
      <c r="Q37" s="3">
        <v>46174</v>
      </c>
      <c r="R37" s="3">
        <v>46175</v>
      </c>
      <c r="S37" s="3">
        <v>46175</v>
      </c>
      <c r="T37" s="3">
        <v>46175</v>
      </c>
      <c r="U37" s="3">
        <v>46176</v>
      </c>
      <c r="V37" s="3">
        <v>46176</v>
      </c>
      <c r="W37" s="3">
        <v>46176</v>
      </c>
      <c r="X37" s="3">
        <v>46176</v>
      </c>
      <c r="Y37" s="3">
        <v>46176</v>
      </c>
      <c r="Z37" s="3">
        <v>46176</v>
      </c>
      <c r="AA37" s="3">
        <v>46176</v>
      </c>
      <c r="AB37" s="3">
        <v>46177</v>
      </c>
      <c r="AC37" s="3">
        <v>46178</v>
      </c>
      <c r="AD37" s="3">
        <v>46178</v>
      </c>
      <c r="AE37" s="3">
        <v>46178</v>
      </c>
      <c r="AF37" s="3">
        <v>46179</v>
      </c>
      <c r="AG37" s="3">
        <v>46180</v>
      </c>
      <c r="AH37" s="3">
        <v>46180</v>
      </c>
      <c r="AI37" s="3">
        <v>46180</v>
      </c>
      <c r="AJ37" s="3">
        <v>46180</v>
      </c>
      <c r="AK37" s="3">
        <v>46181</v>
      </c>
      <c r="AL37" s="3">
        <v>46181</v>
      </c>
      <c r="AM37" s="3">
        <v>46181</v>
      </c>
      <c r="AN37" s="3">
        <v>46181</v>
      </c>
      <c r="AO37" s="3">
        <v>46181</v>
      </c>
      <c r="AP37" s="3">
        <v>46182</v>
      </c>
      <c r="AQ37" s="3">
        <v>46182</v>
      </c>
      <c r="AR37" s="3">
        <v>46182</v>
      </c>
      <c r="AS37" s="3">
        <v>46182</v>
      </c>
      <c r="AT37" s="3">
        <v>46182</v>
      </c>
      <c r="AU37" s="3">
        <v>46183</v>
      </c>
      <c r="AV37" s="3">
        <v>46183</v>
      </c>
      <c r="AW37" s="3">
        <v>46183</v>
      </c>
      <c r="AX37" s="3">
        <v>46183</v>
      </c>
      <c r="AY37" s="3">
        <v>46183</v>
      </c>
      <c r="AZ37" s="3">
        <v>46184</v>
      </c>
      <c r="BA37" s="3">
        <v>46184</v>
      </c>
      <c r="BB37" s="3">
        <v>46184</v>
      </c>
      <c r="BC37" s="3">
        <v>46184</v>
      </c>
      <c r="BD37" s="3">
        <v>46184</v>
      </c>
      <c r="BE37" s="3">
        <v>46185</v>
      </c>
      <c r="BF37" s="3">
        <v>46185</v>
      </c>
      <c r="BG37" s="3">
        <v>46185</v>
      </c>
      <c r="BH37" s="3">
        <v>46185</v>
      </c>
      <c r="BI37" s="3">
        <v>46186</v>
      </c>
      <c r="BJ37" s="3">
        <v>46186</v>
      </c>
    </row>
    <row r="38" spans="1:62" x14ac:dyDescent="0.25">
      <c r="A38">
        <v>816948</v>
      </c>
      <c r="B38">
        <v>816987</v>
      </c>
      <c r="C38">
        <v>816998</v>
      </c>
      <c r="D38">
        <v>817092</v>
      </c>
      <c r="E38">
        <v>817353</v>
      </c>
      <c r="F38">
        <v>817441</v>
      </c>
      <c r="G38">
        <v>817773</v>
      </c>
      <c r="H38">
        <v>817861</v>
      </c>
      <c r="I38">
        <v>817943</v>
      </c>
      <c r="J38">
        <v>817985</v>
      </c>
      <c r="K38">
        <v>818214</v>
      </c>
      <c r="L38">
        <v>818254</v>
      </c>
      <c r="M38">
        <v>818291</v>
      </c>
      <c r="N38">
        <v>818439</v>
      </c>
      <c r="O38">
        <v>818580</v>
      </c>
      <c r="P38">
        <v>818627</v>
      </c>
      <c r="Q38">
        <v>818667</v>
      </c>
      <c r="R38">
        <v>818839</v>
      </c>
      <c r="S38">
        <v>818934</v>
      </c>
      <c r="T38">
        <v>819019</v>
      </c>
      <c r="U38">
        <v>819103</v>
      </c>
      <c r="V38">
        <v>819271</v>
      </c>
      <c r="W38">
        <v>819315</v>
      </c>
      <c r="X38">
        <v>819370</v>
      </c>
      <c r="Y38">
        <v>819445</v>
      </c>
      <c r="Z38">
        <v>819491</v>
      </c>
      <c r="AA38">
        <v>819533</v>
      </c>
      <c r="AB38">
        <v>819706</v>
      </c>
      <c r="AC38">
        <v>819995</v>
      </c>
      <c r="AD38">
        <v>820041</v>
      </c>
      <c r="AE38">
        <v>820088</v>
      </c>
      <c r="AF38">
        <v>820271</v>
      </c>
      <c r="AG38">
        <v>820495</v>
      </c>
      <c r="AH38">
        <v>820568</v>
      </c>
      <c r="AI38">
        <v>820630</v>
      </c>
      <c r="AJ38">
        <v>820670</v>
      </c>
      <c r="AK38">
        <v>820873</v>
      </c>
      <c r="AL38">
        <v>820921</v>
      </c>
      <c r="AM38">
        <v>820957</v>
      </c>
      <c r="AN38">
        <v>821024</v>
      </c>
      <c r="AO38">
        <v>821060</v>
      </c>
      <c r="AP38">
        <v>821288</v>
      </c>
      <c r="AQ38">
        <v>821319</v>
      </c>
      <c r="AR38">
        <v>821356</v>
      </c>
      <c r="AS38">
        <v>821451</v>
      </c>
      <c r="AT38">
        <v>821500</v>
      </c>
      <c r="AU38">
        <v>821710</v>
      </c>
      <c r="AV38">
        <v>821754</v>
      </c>
      <c r="AW38">
        <v>821805</v>
      </c>
      <c r="AX38">
        <v>821885</v>
      </c>
      <c r="AY38">
        <v>821931</v>
      </c>
      <c r="AZ38">
        <v>822143</v>
      </c>
      <c r="BA38">
        <v>822185</v>
      </c>
      <c r="BB38">
        <v>822236</v>
      </c>
      <c r="BC38">
        <v>822306</v>
      </c>
      <c r="BD38">
        <v>822352</v>
      </c>
      <c r="BE38">
        <v>822558</v>
      </c>
      <c r="BF38">
        <v>822647</v>
      </c>
      <c r="BG38">
        <v>822737</v>
      </c>
      <c r="BH38">
        <v>822777</v>
      </c>
      <c r="BI38">
        <v>823003</v>
      </c>
      <c r="BJ38">
        <v>823082</v>
      </c>
    </row>
    <row r="39" spans="1:62" x14ac:dyDescent="0.25">
      <c r="A39">
        <v>990.2</v>
      </c>
      <c r="B39">
        <v>990.2</v>
      </c>
      <c r="C39">
        <v>990.2</v>
      </c>
      <c r="D39">
        <v>990.2</v>
      </c>
      <c r="E39">
        <v>990.2</v>
      </c>
      <c r="F39">
        <v>990.2</v>
      </c>
      <c r="G39">
        <v>990.2</v>
      </c>
      <c r="H39">
        <v>990.2</v>
      </c>
      <c r="I39">
        <v>990.2</v>
      </c>
      <c r="J39">
        <v>990.2</v>
      </c>
      <c r="K39">
        <v>990.2</v>
      </c>
      <c r="L39">
        <v>990.2</v>
      </c>
      <c r="M39">
        <v>990.2</v>
      </c>
      <c r="N39">
        <v>990.2</v>
      </c>
      <c r="O39">
        <v>990.2</v>
      </c>
      <c r="P39">
        <v>990.2</v>
      </c>
      <c r="Q39">
        <v>990.2</v>
      </c>
      <c r="R39">
        <v>990.2</v>
      </c>
      <c r="S39">
        <v>990.2</v>
      </c>
      <c r="T39">
        <v>990.2</v>
      </c>
      <c r="U39">
        <v>990.2</v>
      </c>
      <c r="V39">
        <v>990.2</v>
      </c>
      <c r="W39">
        <v>990.2</v>
      </c>
      <c r="X39">
        <v>990.2</v>
      </c>
      <c r="Y39">
        <v>990.2</v>
      </c>
      <c r="Z39">
        <v>990.2</v>
      </c>
      <c r="AA39">
        <v>990.2</v>
      </c>
      <c r="AB39">
        <v>990.2</v>
      </c>
      <c r="AC39">
        <v>990.2</v>
      </c>
      <c r="AD39">
        <v>990.2</v>
      </c>
      <c r="AE39">
        <v>990.2</v>
      </c>
      <c r="AF39">
        <v>990.2</v>
      </c>
      <c r="AG39">
        <v>990.2</v>
      </c>
      <c r="AH39">
        <v>990.2</v>
      </c>
      <c r="AI39">
        <v>990.2</v>
      </c>
      <c r="AJ39">
        <v>990.2</v>
      </c>
      <c r="AK39">
        <v>990.2</v>
      </c>
      <c r="AL39">
        <v>990.2</v>
      </c>
      <c r="AM39">
        <v>990.2</v>
      </c>
      <c r="AN39">
        <v>990.2</v>
      </c>
      <c r="AO39">
        <v>990.2</v>
      </c>
      <c r="AP39">
        <v>990.2</v>
      </c>
      <c r="AQ39">
        <v>990.2</v>
      </c>
      <c r="AR39">
        <v>990.2</v>
      </c>
      <c r="AS39">
        <v>990.2</v>
      </c>
      <c r="AT39">
        <v>990.2</v>
      </c>
      <c r="AU39">
        <v>990.2</v>
      </c>
      <c r="AV39">
        <v>990.2</v>
      </c>
      <c r="AW39">
        <v>990.2</v>
      </c>
      <c r="AX39">
        <v>990.2</v>
      </c>
      <c r="AY39">
        <v>990.2</v>
      </c>
      <c r="AZ39">
        <v>990.2</v>
      </c>
      <c r="BA39">
        <v>990.2</v>
      </c>
      <c r="BB39">
        <v>990.2</v>
      </c>
      <c r="BC39">
        <v>990.2</v>
      </c>
      <c r="BD39">
        <v>990.2</v>
      </c>
      <c r="BE39">
        <v>990.2</v>
      </c>
      <c r="BF39">
        <v>990.2</v>
      </c>
      <c r="BG39">
        <v>990.2</v>
      </c>
      <c r="BH39">
        <v>990.2</v>
      </c>
      <c r="BI39">
        <v>990.2</v>
      </c>
      <c r="BJ39">
        <v>990.2</v>
      </c>
    </row>
    <row r="40" spans="1:62" x14ac:dyDescent="0.25">
      <c r="A40">
        <v>987.2</v>
      </c>
      <c r="B40">
        <v>987.2</v>
      </c>
      <c r="C40">
        <v>987.2</v>
      </c>
      <c r="D40">
        <v>987.2</v>
      </c>
      <c r="E40">
        <v>987.2</v>
      </c>
      <c r="F40">
        <v>987.2</v>
      </c>
      <c r="G40">
        <v>987.2</v>
      </c>
      <c r="H40">
        <v>987.2</v>
      </c>
      <c r="I40">
        <v>987.2</v>
      </c>
      <c r="J40">
        <v>987.2</v>
      </c>
      <c r="K40">
        <v>987.2</v>
      </c>
      <c r="L40">
        <v>987.2</v>
      </c>
      <c r="M40">
        <v>987.2</v>
      </c>
      <c r="N40">
        <v>987.2</v>
      </c>
      <c r="O40">
        <v>987.2</v>
      </c>
      <c r="P40">
        <v>987.2</v>
      </c>
      <c r="Q40">
        <v>987.2</v>
      </c>
      <c r="R40">
        <v>987.2</v>
      </c>
      <c r="S40">
        <v>987.2</v>
      </c>
      <c r="T40">
        <v>987.2</v>
      </c>
      <c r="U40">
        <v>987.2</v>
      </c>
      <c r="V40">
        <v>987.2</v>
      </c>
      <c r="W40">
        <v>987.2</v>
      </c>
      <c r="X40">
        <v>987.2</v>
      </c>
      <c r="Y40">
        <v>987.2</v>
      </c>
      <c r="Z40">
        <v>987.2</v>
      </c>
      <c r="AA40">
        <v>987.2</v>
      </c>
      <c r="AB40">
        <v>987.2</v>
      </c>
      <c r="AC40">
        <v>987.2</v>
      </c>
      <c r="AD40">
        <v>987.2</v>
      </c>
      <c r="AE40">
        <v>987.2</v>
      </c>
      <c r="AF40">
        <v>987.2</v>
      </c>
      <c r="AG40">
        <v>987.2</v>
      </c>
      <c r="AH40">
        <v>987.2</v>
      </c>
      <c r="AI40">
        <v>987.2</v>
      </c>
      <c r="AJ40">
        <v>987.2</v>
      </c>
      <c r="AK40">
        <v>987.2</v>
      </c>
      <c r="AL40">
        <v>987.2</v>
      </c>
      <c r="AM40">
        <v>987.2</v>
      </c>
      <c r="AN40">
        <v>987.2</v>
      </c>
      <c r="AO40">
        <v>987.2</v>
      </c>
      <c r="AP40">
        <v>987.2</v>
      </c>
      <c r="AQ40">
        <v>987.2</v>
      </c>
      <c r="AR40">
        <v>987.2</v>
      </c>
      <c r="AS40">
        <v>987.2</v>
      </c>
      <c r="AT40">
        <v>987.2</v>
      </c>
      <c r="AU40">
        <v>987.2</v>
      </c>
      <c r="AV40">
        <v>987.2</v>
      </c>
      <c r="AW40">
        <v>987.2</v>
      </c>
      <c r="AX40">
        <v>987.2</v>
      </c>
      <c r="AY40">
        <v>987.2</v>
      </c>
      <c r="AZ40">
        <v>987.2</v>
      </c>
      <c r="BA40">
        <v>987.2</v>
      </c>
      <c r="BB40">
        <v>987.2</v>
      </c>
      <c r="BC40">
        <v>987.2</v>
      </c>
      <c r="BD40">
        <v>987.2</v>
      </c>
      <c r="BE40">
        <v>987.2</v>
      </c>
      <c r="BF40">
        <v>987.2</v>
      </c>
      <c r="BG40">
        <v>987.2</v>
      </c>
      <c r="BH40">
        <v>987.2</v>
      </c>
      <c r="BI40">
        <v>987.2</v>
      </c>
      <c r="BJ40">
        <v>987.2</v>
      </c>
    </row>
    <row r="41" spans="1:62" x14ac:dyDescent="0.25">
      <c r="A41">
        <v>993.2</v>
      </c>
      <c r="B41">
        <v>993.2</v>
      </c>
      <c r="C41">
        <v>993.2</v>
      </c>
      <c r="D41">
        <v>993.2</v>
      </c>
      <c r="E41">
        <v>993.2</v>
      </c>
      <c r="F41">
        <v>993.2</v>
      </c>
      <c r="G41">
        <v>993.2</v>
      </c>
      <c r="H41">
        <v>993.2</v>
      </c>
      <c r="I41">
        <v>993.2</v>
      </c>
      <c r="J41">
        <v>993.2</v>
      </c>
      <c r="K41">
        <v>993.2</v>
      </c>
      <c r="L41">
        <v>993.2</v>
      </c>
      <c r="M41">
        <v>993.2</v>
      </c>
      <c r="N41">
        <v>993.2</v>
      </c>
      <c r="O41">
        <v>993.2</v>
      </c>
      <c r="P41">
        <v>993.2</v>
      </c>
      <c r="Q41">
        <v>993.2</v>
      </c>
      <c r="R41">
        <v>993.2</v>
      </c>
      <c r="S41">
        <v>993.2</v>
      </c>
      <c r="T41">
        <v>993.2</v>
      </c>
      <c r="U41">
        <v>993.2</v>
      </c>
      <c r="V41">
        <v>993.2</v>
      </c>
      <c r="W41">
        <v>993.2</v>
      </c>
      <c r="X41">
        <v>993.2</v>
      </c>
      <c r="Y41">
        <v>993.2</v>
      </c>
      <c r="Z41">
        <v>993.2</v>
      </c>
      <c r="AA41">
        <v>993.2</v>
      </c>
      <c r="AB41">
        <v>993.2</v>
      </c>
      <c r="AC41">
        <v>993.2</v>
      </c>
      <c r="AD41">
        <v>993.2</v>
      </c>
      <c r="AE41">
        <v>993.2</v>
      </c>
      <c r="AF41">
        <v>993.2</v>
      </c>
      <c r="AG41">
        <v>993.2</v>
      </c>
      <c r="AH41">
        <v>993.2</v>
      </c>
      <c r="AI41">
        <v>993.2</v>
      </c>
      <c r="AJ41">
        <v>993.2</v>
      </c>
      <c r="AK41">
        <v>993.2</v>
      </c>
      <c r="AL41">
        <v>993.2</v>
      </c>
      <c r="AM41">
        <v>993.2</v>
      </c>
      <c r="AN41">
        <v>993.2</v>
      </c>
      <c r="AO41">
        <v>993.2</v>
      </c>
      <c r="AP41">
        <v>993.2</v>
      </c>
      <c r="AQ41">
        <v>993.2</v>
      </c>
      <c r="AR41">
        <v>993.2</v>
      </c>
      <c r="AS41">
        <v>993.2</v>
      </c>
      <c r="AT41">
        <v>993.2</v>
      </c>
      <c r="AU41">
        <v>993.2</v>
      </c>
      <c r="AV41">
        <v>993.2</v>
      </c>
      <c r="AW41">
        <v>993.2</v>
      </c>
      <c r="AX41">
        <v>993.2</v>
      </c>
      <c r="AY41">
        <v>993.2</v>
      </c>
      <c r="AZ41">
        <v>993.2</v>
      </c>
      <c r="BA41">
        <v>993.2</v>
      </c>
      <c r="BB41">
        <v>993.2</v>
      </c>
      <c r="BC41">
        <v>993.2</v>
      </c>
      <c r="BD41">
        <v>993.2</v>
      </c>
      <c r="BE41">
        <v>993.2</v>
      </c>
      <c r="BF41">
        <v>993.2</v>
      </c>
      <c r="BG41">
        <v>993.2</v>
      </c>
      <c r="BH41">
        <v>993.2</v>
      </c>
      <c r="BI41">
        <v>993.2</v>
      </c>
      <c r="BJ41">
        <v>993.2</v>
      </c>
    </row>
    <row r="42" spans="1:62" x14ac:dyDescent="0.25">
      <c r="A42">
        <v>989.59</v>
      </c>
      <c r="B42">
        <v>989.23</v>
      </c>
      <c r="C42">
        <v>989.37</v>
      </c>
      <c r="D42">
        <v>989.4</v>
      </c>
      <c r="E42">
        <v>989.1</v>
      </c>
      <c r="F42">
        <v>989.4</v>
      </c>
      <c r="G42">
        <v>989.2</v>
      </c>
      <c r="H42">
        <v>989.5</v>
      </c>
      <c r="I42">
        <v>989.4</v>
      </c>
      <c r="J42">
        <v>989.49</v>
      </c>
      <c r="K42">
        <v>988.95</v>
      </c>
      <c r="L42">
        <v>988.85</v>
      </c>
      <c r="M42">
        <v>988.81</v>
      </c>
      <c r="N42">
        <v>989.65</v>
      </c>
      <c r="O42">
        <v>989.07</v>
      </c>
      <c r="P42">
        <v>988.56</v>
      </c>
      <c r="Q42">
        <v>988.34</v>
      </c>
      <c r="R42">
        <v>988.87</v>
      </c>
      <c r="S42">
        <v>989.5</v>
      </c>
      <c r="T42">
        <v>989.1</v>
      </c>
      <c r="U42">
        <v>989.2</v>
      </c>
      <c r="V42">
        <v>989.47</v>
      </c>
      <c r="W42">
        <v>989.5</v>
      </c>
      <c r="X42">
        <v>989.8</v>
      </c>
      <c r="Y42">
        <v>989.4</v>
      </c>
      <c r="Z42">
        <v>989.24</v>
      </c>
      <c r="AA42">
        <v>989.4</v>
      </c>
      <c r="AB42">
        <v>989.58</v>
      </c>
      <c r="AC42">
        <v>988.77</v>
      </c>
      <c r="AD42">
        <v>988.72</v>
      </c>
      <c r="AE42">
        <v>989.07</v>
      </c>
      <c r="AF42">
        <v>989.22</v>
      </c>
      <c r="AG42">
        <v>989.14</v>
      </c>
      <c r="AH42">
        <v>988.98</v>
      </c>
      <c r="AI42">
        <v>989.2</v>
      </c>
      <c r="AJ42">
        <v>988.54</v>
      </c>
      <c r="AK42">
        <v>989.25</v>
      </c>
      <c r="AL42">
        <v>989.31</v>
      </c>
      <c r="AM42">
        <v>989.38</v>
      </c>
      <c r="AN42">
        <v>989.47</v>
      </c>
      <c r="AO42">
        <v>989.25</v>
      </c>
      <c r="AP42">
        <v>989.37</v>
      </c>
      <c r="AQ42">
        <v>989.21</v>
      </c>
      <c r="AR42">
        <v>988.76</v>
      </c>
      <c r="AS42">
        <v>989.56</v>
      </c>
      <c r="AT42">
        <v>989.66</v>
      </c>
      <c r="AU42">
        <v>989</v>
      </c>
      <c r="AV42">
        <v>989.41</v>
      </c>
      <c r="AW42">
        <v>989.23</v>
      </c>
      <c r="AX42">
        <v>989.07</v>
      </c>
      <c r="AY42">
        <v>989.86</v>
      </c>
      <c r="AZ42">
        <v>989.66</v>
      </c>
      <c r="BA42">
        <v>989.4</v>
      </c>
      <c r="BB42">
        <v>989.61</v>
      </c>
      <c r="BC42">
        <v>989.76</v>
      </c>
      <c r="BD42">
        <v>989.52</v>
      </c>
      <c r="BE42">
        <v>988.66</v>
      </c>
      <c r="BF42">
        <v>989.12</v>
      </c>
      <c r="BG42">
        <v>989.27</v>
      </c>
      <c r="BH42">
        <v>989.86</v>
      </c>
      <c r="BI42">
        <v>988.6</v>
      </c>
      <c r="BJ42">
        <v>988.68</v>
      </c>
    </row>
    <row r="43" spans="1:62" x14ac:dyDescent="0.25">
      <c r="A43" t="s">
        <v>29</v>
      </c>
      <c r="B43" t="s">
        <v>30</v>
      </c>
      <c r="C43" t="s">
        <v>31</v>
      </c>
      <c r="D43" t="s">
        <v>32</v>
      </c>
      <c r="E43" t="s">
        <v>43</v>
      </c>
      <c r="F43" t="s">
        <v>44</v>
      </c>
      <c r="G43" t="s">
        <v>23</v>
      </c>
      <c r="H43">
        <v>62</v>
      </c>
    </row>
    <row r="44" spans="1:62" x14ac:dyDescent="0.25">
      <c r="A44" s="3">
        <v>46169</v>
      </c>
      <c r="B44" s="3">
        <v>46169</v>
      </c>
      <c r="C44" s="3">
        <v>46169</v>
      </c>
      <c r="D44" s="3">
        <v>46169</v>
      </c>
      <c r="E44" s="3">
        <v>46170</v>
      </c>
      <c r="F44" s="3">
        <v>46170</v>
      </c>
      <c r="G44" s="3">
        <v>46171</v>
      </c>
      <c r="H44" s="3">
        <v>46171</v>
      </c>
      <c r="I44" s="3">
        <v>46171</v>
      </c>
      <c r="J44" s="3">
        <v>46171</v>
      </c>
      <c r="K44" s="3">
        <v>46172</v>
      </c>
      <c r="L44" s="3">
        <v>46172</v>
      </c>
      <c r="M44" s="3">
        <v>46172</v>
      </c>
      <c r="N44" s="3">
        <v>46174</v>
      </c>
      <c r="O44" s="3">
        <v>46174</v>
      </c>
      <c r="P44" s="3">
        <v>46174</v>
      </c>
      <c r="Q44" s="3">
        <v>46174</v>
      </c>
      <c r="R44" s="3">
        <v>46175</v>
      </c>
      <c r="S44" s="3">
        <v>46175</v>
      </c>
      <c r="T44" s="3">
        <v>46175</v>
      </c>
      <c r="U44" s="3">
        <v>46176</v>
      </c>
      <c r="V44" s="3">
        <v>46176</v>
      </c>
      <c r="W44" s="3">
        <v>46176</v>
      </c>
      <c r="X44" s="3">
        <v>46176</v>
      </c>
      <c r="Y44" s="3">
        <v>46176</v>
      </c>
      <c r="Z44" s="3">
        <v>46176</v>
      </c>
      <c r="AA44" s="3">
        <v>46176</v>
      </c>
      <c r="AB44" s="3">
        <v>46177</v>
      </c>
      <c r="AC44" s="3">
        <v>46178</v>
      </c>
      <c r="AD44" s="3">
        <v>46178</v>
      </c>
      <c r="AE44" s="3">
        <v>46178</v>
      </c>
      <c r="AF44" s="3">
        <v>46179</v>
      </c>
      <c r="AG44" s="3">
        <v>46180</v>
      </c>
      <c r="AH44" s="3">
        <v>46180</v>
      </c>
      <c r="AI44" s="3">
        <v>46180</v>
      </c>
      <c r="AJ44" s="3">
        <v>46180</v>
      </c>
      <c r="AK44" s="3">
        <v>46181</v>
      </c>
      <c r="AL44" s="3">
        <v>46181</v>
      </c>
      <c r="AM44" s="3">
        <v>46181</v>
      </c>
      <c r="AN44" s="3">
        <v>46181</v>
      </c>
      <c r="AO44" s="3">
        <v>46181</v>
      </c>
      <c r="AP44" s="3">
        <v>46182</v>
      </c>
      <c r="AQ44" s="3">
        <v>46182</v>
      </c>
      <c r="AR44" s="3">
        <v>46182</v>
      </c>
      <c r="AS44" s="3">
        <v>46182</v>
      </c>
      <c r="AT44" s="3">
        <v>46182</v>
      </c>
      <c r="AU44" s="3">
        <v>46183</v>
      </c>
      <c r="AV44" s="3">
        <v>46183</v>
      </c>
      <c r="AW44" s="3">
        <v>46183</v>
      </c>
      <c r="AX44" s="3">
        <v>46183</v>
      </c>
      <c r="AY44" s="3">
        <v>46183</v>
      </c>
      <c r="AZ44" s="3">
        <v>46184</v>
      </c>
      <c r="BA44" s="3">
        <v>46184</v>
      </c>
      <c r="BB44" s="3">
        <v>46184</v>
      </c>
      <c r="BC44" s="3">
        <v>46184</v>
      </c>
      <c r="BD44" s="3">
        <v>46184</v>
      </c>
      <c r="BE44" s="3">
        <v>46185</v>
      </c>
      <c r="BF44" s="3">
        <v>46185</v>
      </c>
      <c r="BG44" s="3">
        <v>46185</v>
      </c>
      <c r="BH44" s="3">
        <v>46185</v>
      </c>
      <c r="BI44" s="3">
        <v>46186</v>
      </c>
      <c r="BJ44" s="3">
        <v>46186</v>
      </c>
    </row>
    <row r="45" spans="1:62" x14ac:dyDescent="0.25">
      <c r="A45">
        <v>816948</v>
      </c>
      <c r="B45">
        <v>816987</v>
      </c>
      <c r="C45">
        <v>816998</v>
      </c>
      <c r="D45">
        <v>817092</v>
      </c>
      <c r="E45">
        <v>817353</v>
      </c>
      <c r="F45">
        <v>817441</v>
      </c>
      <c r="G45">
        <v>817773</v>
      </c>
      <c r="H45">
        <v>817861</v>
      </c>
      <c r="I45">
        <v>817943</v>
      </c>
      <c r="J45">
        <v>817985</v>
      </c>
      <c r="K45">
        <v>818214</v>
      </c>
      <c r="L45">
        <v>818254</v>
      </c>
      <c r="M45">
        <v>818291</v>
      </c>
      <c r="N45">
        <v>818439</v>
      </c>
      <c r="O45">
        <v>818580</v>
      </c>
      <c r="P45">
        <v>818627</v>
      </c>
      <c r="Q45">
        <v>818667</v>
      </c>
      <c r="R45">
        <v>818839</v>
      </c>
      <c r="S45">
        <v>818934</v>
      </c>
      <c r="T45">
        <v>819019</v>
      </c>
      <c r="U45">
        <v>819103</v>
      </c>
      <c r="V45">
        <v>819271</v>
      </c>
      <c r="W45">
        <v>819315</v>
      </c>
      <c r="X45">
        <v>819370</v>
      </c>
      <c r="Y45">
        <v>819445</v>
      </c>
      <c r="Z45">
        <v>819491</v>
      </c>
      <c r="AA45">
        <v>819533</v>
      </c>
      <c r="AB45">
        <v>819706</v>
      </c>
      <c r="AC45">
        <v>819995</v>
      </c>
      <c r="AD45">
        <v>820041</v>
      </c>
      <c r="AE45">
        <v>820088</v>
      </c>
      <c r="AF45">
        <v>820271</v>
      </c>
      <c r="AG45">
        <v>820495</v>
      </c>
      <c r="AH45">
        <v>820568</v>
      </c>
      <c r="AI45">
        <v>820630</v>
      </c>
      <c r="AJ45">
        <v>820670</v>
      </c>
      <c r="AK45">
        <v>820873</v>
      </c>
      <c r="AL45">
        <v>820921</v>
      </c>
      <c r="AM45">
        <v>820957</v>
      </c>
      <c r="AN45">
        <v>821024</v>
      </c>
      <c r="AO45">
        <v>821060</v>
      </c>
      <c r="AP45">
        <v>821288</v>
      </c>
      <c r="AQ45">
        <v>821319</v>
      </c>
      <c r="AR45">
        <v>821356</v>
      </c>
      <c r="AS45">
        <v>821451</v>
      </c>
      <c r="AT45">
        <v>821500</v>
      </c>
      <c r="AU45">
        <v>821710</v>
      </c>
      <c r="AV45">
        <v>821754</v>
      </c>
      <c r="AW45">
        <v>821805</v>
      </c>
      <c r="AX45">
        <v>821885</v>
      </c>
      <c r="AY45">
        <v>821931</v>
      </c>
      <c r="AZ45">
        <v>822143</v>
      </c>
      <c r="BA45">
        <v>822185</v>
      </c>
      <c r="BB45">
        <v>822236</v>
      </c>
      <c r="BC45">
        <v>822306</v>
      </c>
      <c r="BD45">
        <v>822352</v>
      </c>
      <c r="BE45">
        <v>822558</v>
      </c>
      <c r="BF45">
        <v>822647</v>
      </c>
      <c r="BG45">
        <v>822737</v>
      </c>
      <c r="BH45">
        <v>822777</v>
      </c>
      <c r="BI45">
        <v>823003</v>
      </c>
      <c r="BJ45">
        <v>823082</v>
      </c>
    </row>
    <row r="46" spans="1:62" x14ac:dyDescent="0.25">
      <c r="A46">
        <v>226.2</v>
      </c>
      <c r="B46">
        <v>226.2</v>
      </c>
      <c r="C46">
        <v>226.2</v>
      </c>
      <c r="D46">
        <v>226.2</v>
      </c>
      <c r="E46">
        <v>226.2</v>
      </c>
      <c r="F46">
        <v>226.2</v>
      </c>
      <c r="G46">
        <v>226.2</v>
      </c>
      <c r="H46">
        <v>226.2</v>
      </c>
      <c r="I46">
        <v>226.2</v>
      </c>
      <c r="J46">
        <v>226.2</v>
      </c>
      <c r="K46">
        <v>226.2</v>
      </c>
      <c r="L46">
        <v>226.2</v>
      </c>
      <c r="M46">
        <v>226.2</v>
      </c>
      <c r="N46">
        <v>226.2</v>
      </c>
      <c r="O46">
        <v>226.2</v>
      </c>
      <c r="P46">
        <v>226.2</v>
      </c>
      <c r="Q46">
        <v>226.2</v>
      </c>
      <c r="R46">
        <v>226.2</v>
      </c>
      <c r="S46">
        <v>226.2</v>
      </c>
      <c r="T46">
        <v>226.2</v>
      </c>
      <c r="U46">
        <v>226.2</v>
      </c>
      <c r="V46">
        <v>226.2</v>
      </c>
      <c r="W46">
        <v>226.2</v>
      </c>
      <c r="X46">
        <v>226.2</v>
      </c>
      <c r="Y46">
        <v>226.2</v>
      </c>
      <c r="Z46">
        <v>226.2</v>
      </c>
      <c r="AA46">
        <v>226.2</v>
      </c>
      <c r="AB46">
        <v>226.2</v>
      </c>
      <c r="AC46">
        <v>226.2</v>
      </c>
      <c r="AD46">
        <v>226.2</v>
      </c>
      <c r="AE46">
        <v>226.2</v>
      </c>
      <c r="AF46">
        <v>226.2</v>
      </c>
      <c r="AG46">
        <v>226.2</v>
      </c>
      <c r="AH46">
        <v>226.2</v>
      </c>
      <c r="AI46">
        <v>226.2</v>
      </c>
      <c r="AJ46">
        <v>226.2</v>
      </c>
      <c r="AK46">
        <v>226.2</v>
      </c>
      <c r="AL46">
        <v>226.2</v>
      </c>
      <c r="AM46">
        <v>226.2</v>
      </c>
      <c r="AN46">
        <v>226.2</v>
      </c>
      <c r="AO46">
        <v>226.2</v>
      </c>
      <c r="AP46">
        <v>226.2</v>
      </c>
      <c r="AQ46">
        <v>226.2</v>
      </c>
      <c r="AR46">
        <v>226.2</v>
      </c>
      <c r="AS46">
        <v>226.2</v>
      </c>
      <c r="AT46">
        <v>226.2</v>
      </c>
      <c r="AU46">
        <v>226.2</v>
      </c>
      <c r="AV46">
        <v>226.2</v>
      </c>
      <c r="AW46">
        <v>226.2</v>
      </c>
      <c r="AX46">
        <v>226.2</v>
      </c>
      <c r="AY46">
        <v>226.2</v>
      </c>
      <c r="AZ46">
        <v>226.2</v>
      </c>
      <c r="BA46">
        <v>226.2</v>
      </c>
      <c r="BB46">
        <v>226.2</v>
      </c>
      <c r="BC46">
        <v>226.2</v>
      </c>
      <c r="BD46">
        <v>226.2</v>
      </c>
      <c r="BE46">
        <v>226.2</v>
      </c>
      <c r="BF46">
        <v>226.2</v>
      </c>
      <c r="BG46">
        <v>226.2</v>
      </c>
      <c r="BH46">
        <v>226.2</v>
      </c>
      <c r="BI46">
        <v>226.2</v>
      </c>
      <c r="BJ46">
        <v>226.2</v>
      </c>
    </row>
    <row r="47" spans="1:62" x14ac:dyDescent="0.25">
      <c r="A47">
        <v>223.2</v>
      </c>
      <c r="B47">
        <v>223.2</v>
      </c>
      <c r="C47">
        <v>223.2</v>
      </c>
      <c r="D47">
        <v>223.2</v>
      </c>
      <c r="E47">
        <v>223.2</v>
      </c>
      <c r="F47">
        <v>223.2</v>
      </c>
      <c r="G47">
        <v>223.2</v>
      </c>
      <c r="H47">
        <v>223.2</v>
      </c>
      <c r="I47">
        <v>223.2</v>
      </c>
      <c r="J47">
        <v>223.2</v>
      </c>
      <c r="K47">
        <v>223.2</v>
      </c>
      <c r="L47">
        <v>223.2</v>
      </c>
      <c r="M47">
        <v>223.2</v>
      </c>
      <c r="N47">
        <v>223.2</v>
      </c>
      <c r="O47">
        <v>223.2</v>
      </c>
      <c r="P47">
        <v>223.2</v>
      </c>
      <c r="Q47">
        <v>223.2</v>
      </c>
      <c r="R47">
        <v>223.2</v>
      </c>
      <c r="S47">
        <v>223.2</v>
      </c>
      <c r="T47">
        <v>223.2</v>
      </c>
      <c r="U47">
        <v>223.2</v>
      </c>
      <c r="V47">
        <v>223.2</v>
      </c>
      <c r="W47">
        <v>223.2</v>
      </c>
      <c r="X47">
        <v>223.2</v>
      </c>
      <c r="Y47">
        <v>223.2</v>
      </c>
      <c r="Z47">
        <v>223.2</v>
      </c>
      <c r="AA47">
        <v>223.2</v>
      </c>
      <c r="AB47">
        <v>223.2</v>
      </c>
      <c r="AC47">
        <v>223.2</v>
      </c>
      <c r="AD47">
        <v>223.2</v>
      </c>
      <c r="AE47">
        <v>223.2</v>
      </c>
      <c r="AF47">
        <v>223.2</v>
      </c>
      <c r="AG47">
        <v>223.2</v>
      </c>
      <c r="AH47">
        <v>223.2</v>
      </c>
      <c r="AI47">
        <v>223.2</v>
      </c>
      <c r="AJ47">
        <v>223.2</v>
      </c>
      <c r="AK47">
        <v>223.2</v>
      </c>
      <c r="AL47">
        <v>223.2</v>
      </c>
      <c r="AM47">
        <v>223.2</v>
      </c>
      <c r="AN47">
        <v>223.2</v>
      </c>
      <c r="AO47">
        <v>223.2</v>
      </c>
      <c r="AP47">
        <v>223.2</v>
      </c>
      <c r="AQ47">
        <v>223.2</v>
      </c>
      <c r="AR47">
        <v>223.2</v>
      </c>
      <c r="AS47">
        <v>223.2</v>
      </c>
      <c r="AT47">
        <v>223.2</v>
      </c>
      <c r="AU47">
        <v>223.2</v>
      </c>
      <c r="AV47">
        <v>223.2</v>
      </c>
      <c r="AW47">
        <v>223.2</v>
      </c>
      <c r="AX47">
        <v>223.2</v>
      </c>
      <c r="AY47">
        <v>223.2</v>
      </c>
      <c r="AZ47">
        <v>223.2</v>
      </c>
      <c r="BA47">
        <v>223.2</v>
      </c>
      <c r="BB47">
        <v>223.2</v>
      </c>
      <c r="BC47">
        <v>223.2</v>
      </c>
      <c r="BD47">
        <v>223.2</v>
      </c>
      <c r="BE47">
        <v>223.2</v>
      </c>
      <c r="BF47">
        <v>223.2</v>
      </c>
      <c r="BG47">
        <v>223.2</v>
      </c>
      <c r="BH47">
        <v>223.2</v>
      </c>
      <c r="BI47">
        <v>223.2</v>
      </c>
      <c r="BJ47">
        <v>223.2</v>
      </c>
    </row>
    <row r="48" spans="1:62" x14ac:dyDescent="0.25">
      <c r="A48">
        <v>229.2</v>
      </c>
      <c r="B48">
        <v>229.2</v>
      </c>
      <c r="C48">
        <v>229.2</v>
      </c>
      <c r="D48">
        <v>229.2</v>
      </c>
      <c r="E48">
        <v>229.2</v>
      </c>
      <c r="F48">
        <v>229.2</v>
      </c>
      <c r="G48">
        <v>229.2</v>
      </c>
      <c r="H48">
        <v>229.2</v>
      </c>
      <c r="I48">
        <v>229.2</v>
      </c>
      <c r="J48">
        <v>229.2</v>
      </c>
      <c r="K48">
        <v>229.2</v>
      </c>
      <c r="L48">
        <v>229.2</v>
      </c>
      <c r="M48">
        <v>229.2</v>
      </c>
      <c r="N48">
        <v>229.2</v>
      </c>
      <c r="O48">
        <v>229.2</v>
      </c>
      <c r="P48">
        <v>229.2</v>
      </c>
      <c r="Q48">
        <v>229.2</v>
      </c>
      <c r="R48">
        <v>229.2</v>
      </c>
      <c r="S48">
        <v>229.2</v>
      </c>
      <c r="T48">
        <v>229.2</v>
      </c>
      <c r="U48">
        <v>229.2</v>
      </c>
      <c r="V48">
        <v>229.2</v>
      </c>
      <c r="W48">
        <v>229.2</v>
      </c>
      <c r="X48">
        <v>229.2</v>
      </c>
      <c r="Y48">
        <v>229.2</v>
      </c>
      <c r="Z48">
        <v>229.2</v>
      </c>
      <c r="AA48">
        <v>229.2</v>
      </c>
      <c r="AB48">
        <v>229.2</v>
      </c>
      <c r="AC48">
        <v>229.2</v>
      </c>
      <c r="AD48">
        <v>229.2</v>
      </c>
      <c r="AE48">
        <v>229.2</v>
      </c>
      <c r="AF48">
        <v>229.2</v>
      </c>
      <c r="AG48">
        <v>229.2</v>
      </c>
      <c r="AH48">
        <v>229.2</v>
      </c>
      <c r="AI48">
        <v>229.2</v>
      </c>
      <c r="AJ48">
        <v>229.2</v>
      </c>
      <c r="AK48">
        <v>229.2</v>
      </c>
      <c r="AL48">
        <v>229.2</v>
      </c>
      <c r="AM48">
        <v>229.2</v>
      </c>
      <c r="AN48">
        <v>229.2</v>
      </c>
      <c r="AO48">
        <v>229.2</v>
      </c>
      <c r="AP48">
        <v>229.2</v>
      </c>
      <c r="AQ48">
        <v>229.2</v>
      </c>
      <c r="AR48">
        <v>229.2</v>
      </c>
      <c r="AS48">
        <v>229.2</v>
      </c>
      <c r="AT48">
        <v>229.2</v>
      </c>
      <c r="AU48">
        <v>229.2</v>
      </c>
      <c r="AV48">
        <v>229.2</v>
      </c>
      <c r="AW48">
        <v>229.2</v>
      </c>
      <c r="AX48">
        <v>229.2</v>
      </c>
      <c r="AY48">
        <v>229.2</v>
      </c>
      <c r="AZ48">
        <v>229.2</v>
      </c>
      <c r="BA48">
        <v>229.2</v>
      </c>
      <c r="BB48">
        <v>229.2</v>
      </c>
      <c r="BC48">
        <v>229.2</v>
      </c>
      <c r="BD48">
        <v>229.2</v>
      </c>
      <c r="BE48">
        <v>229.2</v>
      </c>
      <c r="BF48">
        <v>229.2</v>
      </c>
      <c r="BG48">
        <v>229.2</v>
      </c>
      <c r="BH48">
        <v>229.2</v>
      </c>
      <c r="BI48">
        <v>229.2</v>
      </c>
      <c r="BJ48">
        <v>229.2</v>
      </c>
    </row>
    <row r="49" spans="1:62" x14ac:dyDescent="0.25">
      <c r="A49">
        <v>226.79</v>
      </c>
      <c r="B49">
        <v>227.11</v>
      </c>
      <c r="C49">
        <v>227.29</v>
      </c>
      <c r="D49">
        <v>227.9</v>
      </c>
      <c r="E49">
        <v>226.8</v>
      </c>
      <c r="F49">
        <v>227.7</v>
      </c>
      <c r="G49">
        <v>226.9</v>
      </c>
      <c r="H49">
        <v>228.5</v>
      </c>
      <c r="I49">
        <v>228.8</v>
      </c>
      <c r="J49">
        <v>228.48</v>
      </c>
      <c r="K49">
        <v>226.73</v>
      </c>
      <c r="L49">
        <v>228.2</v>
      </c>
      <c r="M49">
        <v>228.02</v>
      </c>
      <c r="N49">
        <v>227.87</v>
      </c>
      <c r="O49">
        <v>227.22</v>
      </c>
      <c r="P49">
        <v>227.18</v>
      </c>
      <c r="Q49">
        <v>227.12</v>
      </c>
      <c r="R49">
        <v>227.52</v>
      </c>
      <c r="S49">
        <v>227.9</v>
      </c>
      <c r="T49">
        <v>227.9</v>
      </c>
      <c r="U49">
        <v>227.5</v>
      </c>
      <c r="V49">
        <v>226.39</v>
      </c>
      <c r="W49">
        <v>228.2</v>
      </c>
      <c r="X49">
        <v>226.9</v>
      </c>
      <c r="Y49">
        <v>227.9</v>
      </c>
      <c r="Z49">
        <v>227.71</v>
      </c>
      <c r="AA49">
        <v>227.71</v>
      </c>
      <c r="AB49">
        <v>226.8</v>
      </c>
      <c r="AC49">
        <v>227.41</v>
      </c>
      <c r="AD49">
        <v>227.45</v>
      </c>
      <c r="AE49">
        <v>227.78</v>
      </c>
      <c r="AF49">
        <v>226.88</v>
      </c>
      <c r="AG49">
        <v>227.96</v>
      </c>
      <c r="AH49">
        <v>227.93</v>
      </c>
      <c r="AI49">
        <v>228</v>
      </c>
      <c r="AJ49">
        <v>228.46</v>
      </c>
      <c r="AK49">
        <v>226.93</v>
      </c>
      <c r="AL49">
        <v>227.28</v>
      </c>
      <c r="AM49">
        <v>227.69</v>
      </c>
      <c r="AN49">
        <v>227.78</v>
      </c>
      <c r="AO49">
        <v>227.29</v>
      </c>
      <c r="AP49">
        <v>228.11</v>
      </c>
      <c r="AQ49">
        <v>227.98</v>
      </c>
      <c r="AR49">
        <v>228.38</v>
      </c>
      <c r="AS49">
        <v>228.11</v>
      </c>
      <c r="AT49">
        <v>228.42</v>
      </c>
      <c r="AU49">
        <v>227.19</v>
      </c>
      <c r="AV49">
        <v>228.19</v>
      </c>
      <c r="AW49">
        <v>227.68</v>
      </c>
      <c r="AX49">
        <v>228.21</v>
      </c>
      <c r="AY49">
        <v>228.51</v>
      </c>
      <c r="AZ49">
        <v>228.2</v>
      </c>
      <c r="BA49">
        <v>228.46</v>
      </c>
      <c r="BB49">
        <v>227.8</v>
      </c>
      <c r="BC49">
        <v>228.53</v>
      </c>
      <c r="BD49">
        <v>228.5</v>
      </c>
      <c r="BE49">
        <v>227.45</v>
      </c>
      <c r="BF49">
        <v>228.39</v>
      </c>
      <c r="BG49">
        <v>228.89</v>
      </c>
      <c r="BH49">
        <v>228.41</v>
      </c>
      <c r="BI49">
        <v>226.93</v>
      </c>
      <c r="BJ49">
        <v>227.77</v>
      </c>
    </row>
    <row r="50" spans="1:62" x14ac:dyDescent="0.25">
      <c r="A50" t="s">
        <v>29</v>
      </c>
      <c r="B50" t="s">
        <v>30</v>
      </c>
      <c r="C50" t="s">
        <v>31</v>
      </c>
      <c r="D50" t="s">
        <v>32</v>
      </c>
      <c r="E50" t="s">
        <v>45</v>
      </c>
      <c r="F50" t="s">
        <v>46</v>
      </c>
      <c r="G50" t="s">
        <v>17</v>
      </c>
      <c r="H50">
        <v>62</v>
      </c>
    </row>
    <row r="51" spans="1:62" x14ac:dyDescent="0.25">
      <c r="A51" s="3">
        <v>46169</v>
      </c>
      <c r="B51" s="3">
        <v>46169</v>
      </c>
      <c r="C51" s="3">
        <v>46169</v>
      </c>
      <c r="D51" s="3">
        <v>46169</v>
      </c>
      <c r="E51" s="3">
        <v>46170</v>
      </c>
      <c r="F51" s="3">
        <v>46170</v>
      </c>
      <c r="G51" s="3">
        <v>46171</v>
      </c>
      <c r="H51" s="3">
        <v>46171</v>
      </c>
      <c r="I51" s="3">
        <v>46171</v>
      </c>
      <c r="J51" s="3">
        <v>46171</v>
      </c>
      <c r="K51" s="3">
        <v>46172</v>
      </c>
      <c r="L51" s="3">
        <v>46172</v>
      </c>
      <c r="M51" s="3">
        <v>46172</v>
      </c>
      <c r="N51" s="3">
        <v>46174</v>
      </c>
      <c r="O51" s="3">
        <v>46174</v>
      </c>
      <c r="P51" s="3">
        <v>46174</v>
      </c>
      <c r="Q51" s="3">
        <v>46174</v>
      </c>
      <c r="R51" s="3">
        <v>46175</v>
      </c>
      <c r="S51" s="3">
        <v>46175</v>
      </c>
      <c r="T51" s="3">
        <v>46175</v>
      </c>
      <c r="U51" s="3">
        <v>46176</v>
      </c>
      <c r="V51" s="3">
        <v>46176</v>
      </c>
      <c r="W51" s="3">
        <v>46176</v>
      </c>
      <c r="X51" s="3">
        <v>46176</v>
      </c>
      <c r="Y51" s="3">
        <v>46176</v>
      </c>
      <c r="Z51" s="3">
        <v>46176</v>
      </c>
      <c r="AA51" s="3">
        <v>46176</v>
      </c>
      <c r="AB51" s="3">
        <v>46177</v>
      </c>
      <c r="AC51" s="3">
        <v>46178</v>
      </c>
      <c r="AD51" s="3">
        <v>46178</v>
      </c>
      <c r="AE51" s="3">
        <v>46178</v>
      </c>
      <c r="AF51" s="3">
        <v>46179</v>
      </c>
      <c r="AG51" s="3">
        <v>46180</v>
      </c>
      <c r="AH51" s="3">
        <v>46180</v>
      </c>
      <c r="AI51" s="3">
        <v>46180</v>
      </c>
      <c r="AJ51" s="3">
        <v>46180</v>
      </c>
      <c r="AK51" s="3">
        <v>46181</v>
      </c>
      <c r="AL51" s="3">
        <v>46181</v>
      </c>
      <c r="AM51" s="3">
        <v>46181</v>
      </c>
      <c r="AN51" s="3">
        <v>46181</v>
      </c>
      <c r="AO51" s="3">
        <v>46181</v>
      </c>
      <c r="AP51" s="3">
        <v>46182</v>
      </c>
      <c r="AQ51" s="3">
        <v>46182</v>
      </c>
      <c r="AR51" s="3">
        <v>46182</v>
      </c>
      <c r="AS51" s="3">
        <v>46182</v>
      </c>
      <c r="AT51" s="3">
        <v>46182</v>
      </c>
      <c r="AU51" s="3">
        <v>46183</v>
      </c>
      <c r="AV51" s="3">
        <v>46183</v>
      </c>
      <c r="AW51" s="3">
        <v>46183</v>
      </c>
      <c r="AX51" s="3">
        <v>46183</v>
      </c>
      <c r="AY51" s="3">
        <v>46183</v>
      </c>
      <c r="AZ51" s="3">
        <v>46184</v>
      </c>
      <c r="BA51" s="3">
        <v>46184</v>
      </c>
      <c r="BB51" s="3">
        <v>46184</v>
      </c>
      <c r="BC51" s="3">
        <v>46184</v>
      </c>
      <c r="BD51" s="3">
        <v>46184</v>
      </c>
      <c r="BE51" s="3">
        <v>46185</v>
      </c>
      <c r="BF51" s="3">
        <v>46185</v>
      </c>
      <c r="BG51" s="3">
        <v>46185</v>
      </c>
      <c r="BH51" s="3">
        <v>46185</v>
      </c>
      <c r="BI51" s="3">
        <v>46186</v>
      </c>
      <c r="BJ51" s="3">
        <v>46186</v>
      </c>
    </row>
    <row r="52" spans="1:62" x14ac:dyDescent="0.25">
      <c r="A52">
        <v>816948</v>
      </c>
      <c r="B52">
        <v>816987</v>
      </c>
      <c r="C52">
        <v>816998</v>
      </c>
      <c r="D52">
        <v>817092</v>
      </c>
      <c r="E52">
        <v>817353</v>
      </c>
      <c r="F52">
        <v>817441</v>
      </c>
      <c r="G52">
        <v>817773</v>
      </c>
      <c r="H52">
        <v>817861</v>
      </c>
      <c r="I52">
        <v>817943</v>
      </c>
      <c r="J52">
        <v>817985</v>
      </c>
      <c r="K52">
        <v>818214</v>
      </c>
      <c r="L52">
        <v>818254</v>
      </c>
      <c r="M52">
        <v>818291</v>
      </c>
      <c r="N52">
        <v>818439</v>
      </c>
      <c r="O52">
        <v>818580</v>
      </c>
      <c r="P52">
        <v>818627</v>
      </c>
      <c r="Q52">
        <v>818667</v>
      </c>
      <c r="R52">
        <v>818839</v>
      </c>
      <c r="S52">
        <v>818934</v>
      </c>
      <c r="T52">
        <v>819019</v>
      </c>
      <c r="U52">
        <v>819103</v>
      </c>
      <c r="V52">
        <v>819271</v>
      </c>
      <c r="W52">
        <v>819315</v>
      </c>
      <c r="X52">
        <v>819370</v>
      </c>
      <c r="Y52">
        <v>819445</v>
      </c>
      <c r="Z52">
        <v>819491</v>
      </c>
      <c r="AA52">
        <v>819533</v>
      </c>
      <c r="AB52">
        <v>819706</v>
      </c>
      <c r="AC52">
        <v>819995</v>
      </c>
      <c r="AD52">
        <v>820041</v>
      </c>
      <c r="AE52">
        <v>820088</v>
      </c>
      <c r="AF52">
        <v>820271</v>
      </c>
      <c r="AG52">
        <v>820495</v>
      </c>
      <c r="AH52">
        <v>820568</v>
      </c>
      <c r="AI52">
        <v>820630</v>
      </c>
      <c r="AJ52">
        <v>820670</v>
      </c>
      <c r="AK52">
        <v>820873</v>
      </c>
      <c r="AL52">
        <v>820921</v>
      </c>
      <c r="AM52">
        <v>820957</v>
      </c>
      <c r="AN52">
        <v>821024</v>
      </c>
      <c r="AO52">
        <v>821060</v>
      </c>
      <c r="AP52">
        <v>821288</v>
      </c>
      <c r="AQ52">
        <v>821319</v>
      </c>
      <c r="AR52">
        <v>821356</v>
      </c>
      <c r="AS52">
        <v>821451</v>
      </c>
      <c r="AT52">
        <v>821500</v>
      </c>
      <c r="AU52">
        <v>821710</v>
      </c>
      <c r="AV52">
        <v>821754</v>
      </c>
      <c r="AW52">
        <v>821805</v>
      </c>
      <c r="AX52">
        <v>821885</v>
      </c>
      <c r="AY52">
        <v>821931</v>
      </c>
      <c r="AZ52">
        <v>822143</v>
      </c>
      <c r="BA52">
        <v>822185</v>
      </c>
      <c r="BB52">
        <v>822236</v>
      </c>
      <c r="BC52">
        <v>822306</v>
      </c>
      <c r="BD52">
        <v>822352</v>
      </c>
      <c r="BE52">
        <v>822558</v>
      </c>
      <c r="BF52">
        <v>822647</v>
      </c>
      <c r="BG52">
        <v>822737</v>
      </c>
      <c r="BH52">
        <v>822777</v>
      </c>
      <c r="BI52">
        <v>823003</v>
      </c>
      <c r="BJ52">
        <v>823082</v>
      </c>
    </row>
    <row r="53" spans="1:62" x14ac:dyDescent="0.25">
      <c r="A53">
        <v>449</v>
      </c>
      <c r="B53">
        <v>449</v>
      </c>
      <c r="C53">
        <v>449</v>
      </c>
      <c r="D53">
        <v>449</v>
      </c>
      <c r="E53">
        <v>449</v>
      </c>
      <c r="F53">
        <v>449</v>
      </c>
      <c r="G53">
        <v>449</v>
      </c>
      <c r="H53">
        <v>449</v>
      </c>
      <c r="I53">
        <v>449</v>
      </c>
      <c r="J53">
        <v>449</v>
      </c>
      <c r="K53">
        <v>449</v>
      </c>
      <c r="L53">
        <v>449</v>
      </c>
      <c r="M53">
        <v>449</v>
      </c>
      <c r="N53">
        <v>449</v>
      </c>
      <c r="O53">
        <v>449</v>
      </c>
      <c r="P53">
        <v>449</v>
      </c>
      <c r="Q53">
        <v>449</v>
      </c>
      <c r="R53">
        <v>449</v>
      </c>
      <c r="S53">
        <v>449</v>
      </c>
      <c r="T53">
        <v>449</v>
      </c>
      <c r="U53">
        <v>449</v>
      </c>
      <c r="V53">
        <v>449</v>
      </c>
      <c r="W53">
        <v>449</v>
      </c>
      <c r="X53">
        <v>449</v>
      </c>
      <c r="Y53">
        <v>449</v>
      </c>
      <c r="Z53">
        <v>449</v>
      </c>
      <c r="AA53">
        <v>449</v>
      </c>
      <c r="AB53">
        <v>449</v>
      </c>
      <c r="AC53">
        <v>449</v>
      </c>
      <c r="AD53">
        <v>449</v>
      </c>
      <c r="AE53">
        <v>449</v>
      </c>
      <c r="AF53">
        <v>449</v>
      </c>
      <c r="AG53">
        <v>449</v>
      </c>
      <c r="AH53">
        <v>449</v>
      </c>
      <c r="AI53">
        <v>449</v>
      </c>
      <c r="AJ53">
        <v>449</v>
      </c>
      <c r="AK53">
        <v>449</v>
      </c>
      <c r="AL53">
        <v>449</v>
      </c>
      <c r="AM53">
        <v>449</v>
      </c>
      <c r="AN53">
        <v>449</v>
      </c>
      <c r="AO53">
        <v>449</v>
      </c>
      <c r="AP53">
        <v>449</v>
      </c>
      <c r="AQ53">
        <v>449</v>
      </c>
      <c r="AR53">
        <v>449</v>
      </c>
      <c r="AS53">
        <v>449</v>
      </c>
      <c r="AT53">
        <v>449</v>
      </c>
      <c r="AU53">
        <v>449</v>
      </c>
      <c r="AV53">
        <v>449</v>
      </c>
      <c r="AW53">
        <v>449</v>
      </c>
      <c r="AX53">
        <v>449</v>
      </c>
      <c r="AY53">
        <v>449</v>
      </c>
      <c r="AZ53">
        <v>449</v>
      </c>
      <c r="BA53">
        <v>449</v>
      </c>
      <c r="BB53">
        <v>449</v>
      </c>
      <c r="BC53">
        <v>449</v>
      </c>
      <c r="BD53">
        <v>449</v>
      </c>
      <c r="BE53">
        <v>449</v>
      </c>
      <c r="BF53">
        <v>449</v>
      </c>
      <c r="BG53">
        <v>449</v>
      </c>
      <c r="BH53">
        <v>449</v>
      </c>
      <c r="BI53">
        <v>449</v>
      </c>
      <c r="BJ53">
        <v>449</v>
      </c>
    </row>
    <row r="54" spans="1:62" x14ac:dyDescent="0.25">
      <c r="A54">
        <v>446</v>
      </c>
      <c r="B54">
        <v>446</v>
      </c>
      <c r="C54">
        <v>446</v>
      </c>
      <c r="D54">
        <v>446</v>
      </c>
      <c r="E54">
        <v>446</v>
      </c>
      <c r="F54">
        <v>446</v>
      </c>
      <c r="G54">
        <v>446</v>
      </c>
      <c r="H54">
        <v>446</v>
      </c>
      <c r="I54">
        <v>446</v>
      </c>
      <c r="J54">
        <v>446</v>
      </c>
      <c r="K54">
        <v>446</v>
      </c>
      <c r="L54">
        <v>446</v>
      </c>
      <c r="M54">
        <v>446</v>
      </c>
      <c r="N54">
        <v>446</v>
      </c>
      <c r="O54">
        <v>446</v>
      </c>
      <c r="P54">
        <v>446</v>
      </c>
      <c r="Q54">
        <v>446</v>
      </c>
      <c r="R54">
        <v>446</v>
      </c>
      <c r="S54">
        <v>446</v>
      </c>
      <c r="T54">
        <v>446</v>
      </c>
      <c r="U54">
        <v>446</v>
      </c>
      <c r="V54">
        <v>446</v>
      </c>
      <c r="W54">
        <v>446</v>
      </c>
      <c r="X54">
        <v>446</v>
      </c>
      <c r="Y54">
        <v>446</v>
      </c>
      <c r="Z54">
        <v>446</v>
      </c>
      <c r="AA54">
        <v>446</v>
      </c>
      <c r="AB54">
        <v>446</v>
      </c>
      <c r="AC54">
        <v>446</v>
      </c>
      <c r="AD54">
        <v>446</v>
      </c>
      <c r="AE54">
        <v>446</v>
      </c>
      <c r="AF54">
        <v>446</v>
      </c>
      <c r="AG54">
        <v>446</v>
      </c>
      <c r="AH54">
        <v>446</v>
      </c>
      <c r="AI54">
        <v>446</v>
      </c>
      <c r="AJ54">
        <v>446</v>
      </c>
      <c r="AK54">
        <v>446</v>
      </c>
      <c r="AL54">
        <v>446</v>
      </c>
      <c r="AM54">
        <v>446</v>
      </c>
      <c r="AN54">
        <v>446</v>
      </c>
      <c r="AO54">
        <v>446</v>
      </c>
      <c r="AP54">
        <v>446</v>
      </c>
      <c r="AQ54">
        <v>446</v>
      </c>
      <c r="AR54">
        <v>446</v>
      </c>
      <c r="AS54">
        <v>446</v>
      </c>
      <c r="AT54">
        <v>446</v>
      </c>
      <c r="AU54">
        <v>446</v>
      </c>
      <c r="AV54">
        <v>446</v>
      </c>
      <c r="AW54">
        <v>446</v>
      </c>
      <c r="AX54">
        <v>446</v>
      </c>
      <c r="AY54">
        <v>446</v>
      </c>
      <c r="AZ54">
        <v>446</v>
      </c>
      <c r="BA54">
        <v>446</v>
      </c>
      <c r="BB54">
        <v>446</v>
      </c>
      <c r="BC54">
        <v>446</v>
      </c>
      <c r="BD54">
        <v>446</v>
      </c>
      <c r="BE54">
        <v>446</v>
      </c>
      <c r="BF54">
        <v>446</v>
      </c>
      <c r="BG54">
        <v>446</v>
      </c>
      <c r="BH54">
        <v>446</v>
      </c>
      <c r="BI54">
        <v>446</v>
      </c>
      <c r="BJ54">
        <v>446</v>
      </c>
    </row>
    <row r="55" spans="1:62" x14ac:dyDescent="0.25">
      <c r="A55">
        <v>452</v>
      </c>
      <c r="B55">
        <v>452</v>
      </c>
      <c r="C55">
        <v>452</v>
      </c>
      <c r="D55">
        <v>452</v>
      </c>
      <c r="E55">
        <v>452</v>
      </c>
      <c r="F55">
        <v>452</v>
      </c>
      <c r="G55">
        <v>452</v>
      </c>
      <c r="H55">
        <v>452</v>
      </c>
      <c r="I55">
        <v>452</v>
      </c>
      <c r="J55">
        <v>452</v>
      </c>
      <c r="K55">
        <v>452</v>
      </c>
      <c r="L55">
        <v>452</v>
      </c>
      <c r="M55">
        <v>452</v>
      </c>
      <c r="N55">
        <v>452</v>
      </c>
      <c r="O55">
        <v>452</v>
      </c>
      <c r="P55">
        <v>452</v>
      </c>
      <c r="Q55">
        <v>452</v>
      </c>
      <c r="R55">
        <v>452</v>
      </c>
      <c r="S55">
        <v>452</v>
      </c>
      <c r="T55">
        <v>452</v>
      </c>
      <c r="U55">
        <v>452</v>
      </c>
      <c r="V55">
        <v>452</v>
      </c>
      <c r="W55">
        <v>452</v>
      </c>
      <c r="X55">
        <v>452</v>
      </c>
      <c r="Y55">
        <v>452</v>
      </c>
      <c r="Z55">
        <v>452</v>
      </c>
      <c r="AA55">
        <v>452</v>
      </c>
      <c r="AB55">
        <v>452</v>
      </c>
      <c r="AC55">
        <v>452</v>
      </c>
      <c r="AD55">
        <v>452</v>
      </c>
      <c r="AE55">
        <v>452</v>
      </c>
      <c r="AF55">
        <v>452</v>
      </c>
      <c r="AG55">
        <v>452</v>
      </c>
      <c r="AH55">
        <v>452</v>
      </c>
      <c r="AI55">
        <v>452</v>
      </c>
      <c r="AJ55">
        <v>452</v>
      </c>
      <c r="AK55">
        <v>452</v>
      </c>
      <c r="AL55">
        <v>452</v>
      </c>
      <c r="AM55">
        <v>452</v>
      </c>
      <c r="AN55">
        <v>452</v>
      </c>
      <c r="AO55">
        <v>452</v>
      </c>
      <c r="AP55">
        <v>452</v>
      </c>
      <c r="AQ55">
        <v>452</v>
      </c>
      <c r="AR55">
        <v>452</v>
      </c>
      <c r="AS55">
        <v>452</v>
      </c>
      <c r="AT55">
        <v>452</v>
      </c>
      <c r="AU55">
        <v>452</v>
      </c>
      <c r="AV55">
        <v>452</v>
      </c>
      <c r="AW55">
        <v>452</v>
      </c>
      <c r="AX55">
        <v>452</v>
      </c>
      <c r="AY55">
        <v>452</v>
      </c>
      <c r="AZ55">
        <v>452</v>
      </c>
      <c r="BA55">
        <v>452</v>
      </c>
      <c r="BB55">
        <v>452</v>
      </c>
      <c r="BC55">
        <v>452</v>
      </c>
      <c r="BD55">
        <v>452</v>
      </c>
      <c r="BE55">
        <v>452</v>
      </c>
      <c r="BF55">
        <v>452</v>
      </c>
      <c r="BG55">
        <v>452</v>
      </c>
      <c r="BH55">
        <v>452</v>
      </c>
      <c r="BI55">
        <v>452</v>
      </c>
      <c r="BJ55">
        <v>452</v>
      </c>
    </row>
    <row r="56" spans="1:62" x14ac:dyDescent="0.25">
      <c r="A56">
        <v>450.25</v>
      </c>
      <c r="B56">
        <v>448.85</v>
      </c>
      <c r="C56">
        <v>449.84</v>
      </c>
      <c r="D56">
        <v>449.7</v>
      </c>
      <c r="E56">
        <v>449.4</v>
      </c>
      <c r="F56">
        <v>449.1</v>
      </c>
      <c r="G56">
        <v>450.3</v>
      </c>
      <c r="H56">
        <v>449.4</v>
      </c>
      <c r="I56">
        <v>450.2</v>
      </c>
      <c r="J56">
        <v>451.11</v>
      </c>
      <c r="K56">
        <v>448.74</v>
      </c>
      <c r="L56">
        <v>448.55</v>
      </c>
      <c r="M56">
        <v>450.51</v>
      </c>
      <c r="N56">
        <v>450.64</v>
      </c>
      <c r="O56">
        <v>448.88</v>
      </c>
      <c r="P56">
        <v>448.42</v>
      </c>
      <c r="Q56">
        <v>448.44</v>
      </c>
      <c r="R56">
        <v>449.6</v>
      </c>
      <c r="S56">
        <v>449.9</v>
      </c>
      <c r="T56">
        <v>448.7</v>
      </c>
      <c r="U56">
        <v>448.3</v>
      </c>
      <c r="V56">
        <v>450.95</v>
      </c>
      <c r="W56">
        <v>449.1</v>
      </c>
      <c r="X56">
        <v>449.5</v>
      </c>
      <c r="Y56">
        <v>449.6</v>
      </c>
      <c r="Z56">
        <v>448.39</v>
      </c>
      <c r="AA56">
        <v>449.66</v>
      </c>
      <c r="AB56">
        <v>449.56</v>
      </c>
      <c r="AC56">
        <v>449.06</v>
      </c>
      <c r="AD56">
        <v>449.39</v>
      </c>
      <c r="AE56">
        <v>448.9</v>
      </c>
      <c r="AF56">
        <v>448.99</v>
      </c>
      <c r="AG56">
        <v>449.3</v>
      </c>
      <c r="AH56">
        <v>450.06</v>
      </c>
      <c r="AI56">
        <v>449.8</v>
      </c>
      <c r="AJ56">
        <v>449.74</v>
      </c>
      <c r="AK56">
        <v>449.66</v>
      </c>
      <c r="AL56">
        <v>449.5</v>
      </c>
      <c r="AM56">
        <v>450.23</v>
      </c>
      <c r="AN56">
        <v>450.03</v>
      </c>
      <c r="AO56">
        <v>449.73</v>
      </c>
      <c r="AP56">
        <v>451.65</v>
      </c>
      <c r="AQ56">
        <v>450.6</v>
      </c>
      <c r="AR56">
        <v>450.31</v>
      </c>
      <c r="AS56">
        <v>449.5</v>
      </c>
      <c r="AT56">
        <v>450.59</v>
      </c>
      <c r="AU56">
        <v>449.89</v>
      </c>
      <c r="AV56">
        <v>449.56</v>
      </c>
      <c r="AW56">
        <v>449.15</v>
      </c>
      <c r="AX56">
        <v>450.33</v>
      </c>
      <c r="AY56">
        <v>450.92</v>
      </c>
      <c r="AZ56">
        <v>450.35</v>
      </c>
      <c r="BA56">
        <v>450.06</v>
      </c>
      <c r="BB56">
        <v>449.17</v>
      </c>
      <c r="BC56">
        <v>449.85</v>
      </c>
      <c r="BD56">
        <v>449.64</v>
      </c>
      <c r="BE56">
        <v>449.1</v>
      </c>
      <c r="BF56">
        <v>449.9</v>
      </c>
      <c r="BG56">
        <v>450.23</v>
      </c>
      <c r="BH56">
        <v>450.99</v>
      </c>
      <c r="BI56">
        <v>450.03</v>
      </c>
      <c r="BJ56">
        <v>448.84</v>
      </c>
    </row>
    <row r="57" spans="1:62" x14ac:dyDescent="0.25">
      <c r="A57" t="s">
        <v>29</v>
      </c>
      <c r="B57" t="s">
        <v>30</v>
      </c>
      <c r="C57" t="s">
        <v>31</v>
      </c>
      <c r="D57" t="s">
        <v>32</v>
      </c>
      <c r="E57" t="s">
        <v>47</v>
      </c>
      <c r="F57" t="s">
        <v>48</v>
      </c>
      <c r="G57" t="s">
        <v>22</v>
      </c>
      <c r="H57">
        <v>62</v>
      </c>
    </row>
    <row r="58" spans="1:62" x14ac:dyDescent="0.25">
      <c r="A58" s="3">
        <v>46169</v>
      </c>
      <c r="B58" s="3">
        <v>46169</v>
      </c>
      <c r="C58" s="3">
        <v>46169</v>
      </c>
      <c r="D58" s="3">
        <v>46169</v>
      </c>
      <c r="E58" s="3">
        <v>46170</v>
      </c>
      <c r="F58" s="3">
        <v>46170</v>
      </c>
      <c r="G58" s="3">
        <v>46171</v>
      </c>
      <c r="H58" s="3">
        <v>46171</v>
      </c>
      <c r="I58" s="3">
        <v>46171</v>
      </c>
      <c r="J58" s="3">
        <v>46171</v>
      </c>
      <c r="K58" s="3">
        <v>46172</v>
      </c>
      <c r="L58" s="3">
        <v>46172</v>
      </c>
      <c r="M58" s="3">
        <v>46172</v>
      </c>
      <c r="N58" s="3">
        <v>46174</v>
      </c>
      <c r="O58" s="3">
        <v>46174</v>
      </c>
      <c r="P58" s="3">
        <v>46174</v>
      </c>
      <c r="Q58" s="3">
        <v>46174</v>
      </c>
      <c r="R58" s="3">
        <v>46175</v>
      </c>
      <c r="S58" s="3">
        <v>46175</v>
      </c>
      <c r="T58" s="3">
        <v>46175</v>
      </c>
      <c r="U58" s="3">
        <v>46176</v>
      </c>
      <c r="V58" s="3">
        <v>46176</v>
      </c>
      <c r="W58" s="3">
        <v>46176</v>
      </c>
      <c r="X58" s="3">
        <v>46176</v>
      </c>
      <c r="Y58" s="3">
        <v>46176</v>
      </c>
      <c r="Z58" s="3">
        <v>46176</v>
      </c>
      <c r="AA58" s="3">
        <v>46176</v>
      </c>
      <c r="AB58" s="3">
        <v>46177</v>
      </c>
      <c r="AC58" s="3">
        <v>46178</v>
      </c>
      <c r="AD58" s="3">
        <v>46178</v>
      </c>
      <c r="AE58" s="3">
        <v>46178</v>
      </c>
      <c r="AF58" s="3">
        <v>46179</v>
      </c>
      <c r="AG58" s="3">
        <v>46180</v>
      </c>
      <c r="AH58" s="3">
        <v>46180</v>
      </c>
      <c r="AI58" s="3">
        <v>46180</v>
      </c>
      <c r="AJ58" s="3">
        <v>46180</v>
      </c>
      <c r="AK58" s="3">
        <v>46181</v>
      </c>
      <c r="AL58" s="3">
        <v>46181</v>
      </c>
      <c r="AM58" s="3">
        <v>46181</v>
      </c>
      <c r="AN58" s="3">
        <v>46181</v>
      </c>
      <c r="AO58" s="3">
        <v>46181</v>
      </c>
      <c r="AP58" s="3">
        <v>46182</v>
      </c>
      <c r="AQ58" s="3">
        <v>46182</v>
      </c>
      <c r="AR58" s="3">
        <v>46182</v>
      </c>
      <c r="AS58" s="3">
        <v>46182</v>
      </c>
      <c r="AT58" s="3">
        <v>46182</v>
      </c>
      <c r="AU58" s="3">
        <v>46183</v>
      </c>
      <c r="AV58" s="3">
        <v>46183</v>
      </c>
      <c r="AW58" s="3">
        <v>46183</v>
      </c>
      <c r="AX58" s="3">
        <v>46183</v>
      </c>
      <c r="AY58" s="3">
        <v>46183</v>
      </c>
      <c r="AZ58" s="3">
        <v>46184</v>
      </c>
      <c r="BA58" s="3">
        <v>46184</v>
      </c>
      <c r="BB58" s="3">
        <v>46184</v>
      </c>
      <c r="BC58" s="3">
        <v>46184</v>
      </c>
      <c r="BD58" s="3">
        <v>46184</v>
      </c>
      <c r="BE58" s="3">
        <v>46185</v>
      </c>
      <c r="BF58" s="3">
        <v>46185</v>
      </c>
      <c r="BG58" s="3">
        <v>46185</v>
      </c>
      <c r="BH58" s="3">
        <v>46185</v>
      </c>
      <c r="BI58" s="3">
        <v>46186</v>
      </c>
      <c r="BJ58" s="3">
        <v>46186</v>
      </c>
    </row>
    <row r="59" spans="1:62" x14ac:dyDescent="0.25">
      <c r="A59">
        <v>816948</v>
      </c>
      <c r="B59">
        <v>816987</v>
      </c>
      <c r="C59">
        <v>816998</v>
      </c>
      <c r="D59">
        <v>817092</v>
      </c>
      <c r="E59">
        <v>817353</v>
      </c>
      <c r="F59">
        <v>817441</v>
      </c>
      <c r="G59">
        <v>817773</v>
      </c>
      <c r="H59">
        <v>817861</v>
      </c>
      <c r="I59">
        <v>817943</v>
      </c>
      <c r="J59">
        <v>817985</v>
      </c>
      <c r="K59">
        <v>818214</v>
      </c>
      <c r="L59">
        <v>818254</v>
      </c>
      <c r="M59">
        <v>818291</v>
      </c>
      <c r="N59">
        <v>818439</v>
      </c>
      <c r="O59">
        <v>818580</v>
      </c>
      <c r="P59">
        <v>818627</v>
      </c>
      <c r="Q59">
        <v>818667</v>
      </c>
      <c r="R59">
        <v>818839</v>
      </c>
      <c r="S59">
        <v>818934</v>
      </c>
      <c r="T59">
        <v>819019</v>
      </c>
      <c r="U59">
        <v>819103</v>
      </c>
      <c r="V59">
        <v>819271</v>
      </c>
      <c r="W59">
        <v>819315</v>
      </c>
      <c r="X59">
        <v>819370</v>
      </c>
      <c r="Y59">
        <v>819445</v>
      </c>
      <c r="Z59">
        <v>819491</v>
      </c>
      <c r="AA59">
        <v>819533</v>
      </c>
      <c r="AB59">
        <v>819706</v>
      </c>
      <c r="AC59">
        <v>819995</v>
      </c>
      <c r="AD59">
        <v>820041</v>
      </c>
      <c r="AE59">
        <v>820088</v>
      </c>
      <c r="AF59">
        <v>820271</v>
      </c>
      <c r="AG59">
        <v>820495</v>
      </c>
      <c r="AH59">
        <v>820568</v>
      </c>
      <c r="AI59">
        <v>820630</v>
      </c>
      <c r="AJ59">
        <v>820670</v>
      </c>
      <c r="AK59">
        <v>820873</v>
      </c>
      <c r="AL59">
        <v>820921</v>
      </c>
      <c r="AM59">
        <v>820957</v>
      </c>
      <c r="AN59">
        <v>821024</v>
      </c>
      <c r="AO59">
        <v>821060</v>
      </c>
      <c r="AP59">
        <v>821288</v>
      </c>
      <c r="AQ59">
        <v>821319</v>
      </c>
      <c r="AR59">
        <v>821356</v>
      </c>
      <c r="AS59">
        <v>821451</v>
      </c>
      <c r="AT59">
        <v>821500</v>
      </c>
      <c r="AU59">
        <v>821710</v>
      </c>
      <c r="AV59">
        <v>821754</v>
      </c>
      <c r="AW59">
        <v>821805</v>
      </c>
      <c r="AX59">
        <v>821885</v>
      </c>
      <c r="AY59">
        <v>821931</v>
      </c>
      <c r="AZ59">
        <v>822143</v>
      </c>
      <c r="BA59">
        <v>822185</v>
      </c>
      <c r="BB59">
        <v>822236</v>
      </c>
      <c r="BC59">
        <v>822306</v>
      </c>
      <c r="BD59">
        <v>822352</v>
      </c>
      <c r="BE59">
        <v>822558</v>
      </c>
      <c r="BF59">
        <v>822647</v>
      </c>
      <c r="BG59">
        <v>822737</v>
      </c>
      <c r="BH59">
        <v>822777</v>
      </c>
      <c r="BI59">
        <v>823003</v>
      </c>
      <c r="BJ59">
        <v>823082</v>
      </c>
    </row>
    <row r="60" spans="1:62" x14ac:dyDescent="0.25">
      <c r="A60">
        <v>1052.3</v>
      </c>
      <c r="B60">
        <v>1052.3</v>
      </c>
      <c r="C60">
        <v>1052.3</v>
      </c>
      <c r="D60">
        <v>1052.3</v>
      </c>
      <c r="E60">
        <v>1052.3</v>
      </c>
      <c r="F60">
        <v>1052.3</v>
      </c>
      <c r="G60">
        <v>1052.3</v>
      </c>
      <c r="H60">
        <v>1052.3</v>
      </c>
      <c r="I60">
        <v>1052.3</v>
      </c>
      <c r="J60">
        <v>1052.3</v>
      </c>
      <c r="K60">
        <v>1052.3</v>
      </c>
      <c r="L60">
        <v>1052.3</v>
      </c>
      <c r="M60">
        <v>1052.3</v>
      </c>
      <c r="N60">
        <v>1052.3</v>
      </c>
      <c r="O60">
        <v>1052.3</v>
      </c>
      <c r="P60">
        <v>1052.3</v>
      </c>
      <c r="Q60">
        <v>1052.3</v>
      </c>
      <c r="R60">
        <v>1052.3</v>
      </c>
      <c r="S60">
        <v>1052.3</v>
      </c>
      <c r="T60">
        <v>1052.3</v>
      </c>
      <c r="U60">
        <v>1052.3</v>
      </c>
      <c r="V60">
        <v>1052.3</v>
      </c>
      <c r="W60">
        <v>1052.3</v>
      </c>
      <c r="X60">
        <v>1052.3</v>
      </c>
      <c r="Y60">
        <v>1052.3</v>
      </c>
      <c r="Z60">
        <v>1052.3</v>
      </c>
      <c r="AA60">
        <v>1052.3</v>
      </c>
      <c r="AB60">
        <v>1052.3</v>
      </c>
      <c r="AC60">
        <v>1052.3</v>
      </c>
      <c r="AD60">
        <v>1052.3</v>
      </c>
      <c r="AE60">
        <v>1052.3</v>
      </c>
      <c r="AF60">
        <v>1052.3</v>
      </c>
      <c r="AG60">
        <v>1052.3</v>
      </c>
      <c r="AH60">
        <v>1052.3</v>
      </c>
      <c r="AI60">
        <v>1052.3</v>
      </c>
      <c r="AJ60">
        <v>1052.3</v>
      </c>
      <c r="AK60">
        <v>1052.3</v>
      </c>
      <c r="AL60">
        <v>1052.3</v>
      </c>
      <c r="AM60">
        <v>1052.3</v>
      </c>
      <c r="AN60">
        <v>1052.3</v>
      </c>
      <c r="AO60">
        <v>1052.3</v>
      </c>
      <c r="AP60">
        <v>1052.3</v>
      </c>
      <c r="AQ60">
        <v>1052.3</v>
      </c>
      <c r="AR60">
        <v>1052.3</v>
      </c>
      <c r="AS60">
        <v>1052.3</v>
      </c>
      <c r="AT60">
        <v>1052.3</v>
      </c>
      <c r="AU60">
        <v>1052.3</v>
      </c>
      <c r="AV60">
        <v>1052.3</v>
      </c>
      <c r="AW60">
        <v>1052.3</v>
      </c>
      <c r="AX60">
        <v>1052.3</v>
      </c>
      <c r="AY60">
        <v>1052.3</v>
      </c>
      <c r="AZ60">
        <v>1052.3</v>
      </c>
      <c r="BA60">
        <v>1052.3</v>
      </c>
      <c r="BB60">
        <v>1052.3</v>
      </c>
      <c r="BC60">
        <v>1052.3</v>
      </c>
      <c r="BD60">
        <v>1052.3</v>
      </c>
      <c r="BE60">
        <v>1052.3</v>
      </c>
      <c r="BF60">
        <v>1052.3</v>
      </c>
      <c r="BG60">
        <v>1052.3</v>
      </c>
      <c r="BH60">
        <v>1052.3</v>
      </c>
      <c r="BI60">
        <v>1052.3</v>
      </c>
      <c r="BJ60">
        <v>1052.3</v>
      </c>
    </row>
    <row r="61" spans="1:62" x14ac:dyDescent="0.25">
      <c r="A61">
        <v>1049.3</v>
      </c>
      <c r="B61">
        <v>1049.3</v>
      </c>
      <c r="C61">
        <v>1049.3</v>
      </c>
      <c r="D61">
        <v>1049.3</v>
      </c>
      <c r="E61">
        <v>1049.3</v>
      </c>
      <c r="F61">
        <v>1049.3</v>
      </c>
      <c r="G61">
        <v>1049.3</v>
      </c>
      <c r="H61">
        <v>1049.3</v>
      </c>
      <c r="I61">
        <v>1049.3</v>
      </c>
      <c r="J61">
        <v>1049.3</v>
      </c>
      <c r="K61">
        <v>1049.3</v>
      </c>
      <c r="L61">
        <v>1049.3</v>
      </c>
      <c r="M61">
        <v>1049.3</v>
      </c>
      <c r="N61">
        <v>1049.3</v>
      </c>
      <c r="O61">
        <v>1049.3</v>
      </c>
      <c r="P61">
        <v>1049.3</v>
      </c>
      <c r="Q61">
        <v>1049.3</v>
      </c>
      <c r="R61">
        <v>1049.3</v>
      </c>
      <c r="S61">
        <v>1049.3</v>
      </c>
      <c r="T61">
        <v>1049.3</v>
      </c>
      <c r="U61">
        <v>1049.3</v>
      </c>
      <c r="V61">
        <v>1049.3</v>
      </c>
      <c r="W61">
        <v>1049.3</v>
      </c>
      <c r="X61">
        <v>1049.3</v>
      </c>
      <c r="Y61">
        <v>1049.3</v>
      </c>
      <c r="Z61">
        <v>1049.3</v>
      </c>
      <c r="AA61">
        <v>1049.3</v>
      </c>
      <c r="AB61">
        <v>1049.3</v>
      </c>
      <c r="AC61">
        <v>1049.3</v>
      </c>
      <c r="AD61">
        <v>1049.3</v>
      </c>
      <c r="AE61">
        <v>1049.3</v>
      </c>
      <c r="AF61">
        <v>1049.3</v>
      </c>
      <c r="AG61">
        <v>1049.3</v>
      </c>
      <c r="AH61">
        <v>1049.3</v>
      </c>
      <c r="AI61">
        <v>1049.3</v>
      </c>
      <c r="AJ61">
        <v>1049.3</v>
      </c>
      <c r="AK61">
        <v>1049.3</v>
      </c>
      <c r="AL61">
        <v>1049.3</v>
      </c>
      <c r="AM61">
        <v>1049.3</v>
      </c>
      <c r="AN61">
        <v>1049.3</v>
      </c>
      <c r="AO61">
        <v>1049.3</v>
      </c>
      <c r="AP61">
        <v>1049.3</v>
      </c>
      <c r="AQ61">
        <v>1049.3</v>
      </c>
      <c r="AR61">
        <v>1049.3</v>
      </c>
      <c r="AS61">
        <v>1049.3</v>
      </c>
      <c r="AT61">
        <v>1049.3</v>
      </c>
      <c r="AU61">
        <v>1049.3</v>
      </c>
      <c r="AV61">
        <v>1049.3</v>
      </c>
      <c r="AW61">
        <v>1049.3</v>
      </c>
      <c r="AX61">
        <v>1049.3</v>
      </c>
      <c r="AY61">
        <v>1049.3</v>
      </c>
      <c r="AZ61">
        <v>1049.3</v>
      </c>
      <c r="BA61">
        <v>1049.3</v>
      </c>
      <c r="BB61">
        <v>1049.3</v>
      </c>
      <c r="BC61">
        <v>1049.3</v>
      </c>
      <c r="BD61">
        <v>1049.3</v>
      </c>
      <c r="BE61">
        <v>1049.3</v>
      </c>
      <c r="BF61">
        <v>1049.3</v>
      </c>
      <c r="BG61">
        <v>1049.3</v>
      </c>
      <c r="BH61">
        <v>1049.3</v>
      </c>
      <c r="BI61">
        <v>1049.3</v>
      </c>
      <c r="BJ61">
        <v>1049.3</v>
      </c>
    </row>
    <row r="62" spans="1:62" x14ac:dyDescent="0.25">
      <c r="A62">
        <v>1055.3</v>
      </c>
      <c r="B62">
        <v>1055.3</v>
      </c>
      <c r="C62">
        <v>1055.3</v>
      </c>
      <c r="D62">
        <v>1055.3</v>
      </c>
      <c r="E62">
        <v>1055.3</v>
      </c>
      <c r="F62">
        <v>1055.3</v>
      </c>
      <c r="G62">
        <v>1055.3</v>
      </c>
      <c r="H62">
        <v>1055.3</v>
      </c>
      <c r="I62">
        <v>1055.3</v>
      </c>
      <c r="J62">
        <v>1055.3</v>
      </c>
      <c r="K62">
        <v>1055.3</v>
      </c>
      <c r="L62">
        <v>1055.3</v>
      </c>
      <c r="M62">
        <v>1055.3</v>
      </c>
      <c r="N62">
        <v>1055.3</v>
      </c>
      <c r="O62">
        <v>1055.3</v>
      </c>
      <c r="P62">
        <v>1055.3</v>
      </c>
      <c r="Q62">
        <v>1055.3</v>
      </c>
      <c r="R62">
        <v>1055.3</v>
      </c>
      <c r="S62">
        <v>1055.3</v>
      </c>
      <c r="T62">
        <v>1055.3</v>
      </c>
      <c r="U62">
        <v>1055.3</v>
      </c>
      <c r="V62">
        <v>1055.3</v>
      </c>
      <c r="W62">
        <v>1055.3</v>
      </c>
      <c r="X62">
        <v>1055.3</v>
      </c>
      <c r="Y62">
        <v>1055.3</v>
      </c>
      <c r="Z62">
        <v>1055.3</v>
      </c>
      <c r="AA62">
        <v>1055.3</v>
      </c>
      <c r="AB62">
        <v>1055.3</v>
      </c>
      <c r="AC62">
        <v>1055.3</v>
      </c>
      <c r="AD62">
        <v>1055.3</v>
      </c>
      <c r="AE62">
        <v>1055.3</v>
      </c>
      <c r="AF62">
        <v>1055.3</v>
      </c>
      <c r="AG62">
        <v>1055.3</v>
      </c>
      <c r="AH62">
        <v>1055.3</v>
      </c>
      <c r="AI62">
        <v>1055.3</v>
      </c>
      <c r="AJ62">
        <v>1055.3</v>
      </c>
      <c r="AK62">
        <v>1055.3</v>
      </c>
      <c r="AL62">
        <v>1055.3</v>
      </c>
      <c r="AM62">
        <v>1055.3</v>
      </c>
      <c r="AN62">
        <v>1055.3</v>
      </c>
      <c r="AO62">
        <v>1055.3</v>
      </c>
      <c r="AP62">
        <v>1055.3</v>
      </c>
      <c r="AQ62">
        <v>1055.3</v>
      </c>
      <c r="AR62">
        <v>1055.3</v>
      </c>
      <c r="AS62">
        <v>1055.3</v>
      </c>
      <c r="AT62">
        <v>1055.3</v>
      </c>
      <c r="AU62">
        <v>1055.3</v>
      </c>
      <c r="AV62">
        <v>1055.3</v>
      </c>
      <c r="AW62">
        <v>1055.3</v>
      </c>
      <c r="AX62">
        <v>1055.3</v>
      </c>
      <c r="AY62">
        <v>1055.3</v>
      </c>
      <c r="AZ62">
        <v>1055.3</v>
      </c>
      <c r="BA62">
        <v>1055.3</v>
      </c>
      <c r="BB62">
        <v>1055.3</v>
      </c>
      <c r="BC62">
        <v>1055.3</v>
      </c>
      <c r="BD62">
        <v>1055.3</v>
      </c>
      <c r="BE62">
        <v>1055.3</v>
      </c>
      <c r="BF62">
        <v>1055.3</v>
      </c>
      <c r="BG62">
        <v>1055.3</v>
      </c>
      <c r="BH62">
        <v>1055.3</v>
      </c>
      <c r="BI62">
        <v>1055.3</v>
      </c>
      <c r="BJ62">
        <v>1055.3</v>
      </c>
    </row>
    <row r="63" spans="1:62" x14ac:dyDescent="0.25">
      <c r="A63">
        <v>1051.51</v>
      </c>
      <c r="B63">
        <v>1051.3800000000001</v>
      </c>
      <c r="C63">
        <v>1051.45</v>
      </c>
      <c r="D63">
        <v>1051.9000000000001</v>
      </c>
      <c r="E63">
        <v>1051.2</v>
      </c>
      <c r="F63">
        <v>1051.8</v>
      </c>
      <c r="G63">
        <v>1051.4000000000001</v>
      </c>
      <c r="H63">
        <v>1051.8</v>
      </c>
      <c r="I63">
        <v>1051.8</v>
      </c>
      <c r="J63">
        <v>1051.95</v>
      </c>
      <c r="K63">
        <v>1051.21</v>
      </c>
      <c r="L63">
        <v>1051.29</v>
      </c>
      <c r="M63">
        <v>1050.8499999999999</v>
      </c>
      <c r="N63">
        <v>1051.6500000000001</v>
      </c>
      <c r="O63">
        <v>1051.2</v>
      </c>
      <c r="P63">
        <v>1051.07</v>
      </c>
      <c r="Q63">
        <v>1050.99</v>
      </c>
      <c r="R63">
        <v>1051.42</v>
      </c>
      <c r="S63">
        <v>1051.5</v>
      </c>
      <c r="T63">
        <v>1051.7</v>
      </c>
      <c r="U63">
        <v>1051.8</v>
      </c>
      <c r="V63">
        <v>1051.3599999999999</v>
      </c>
      <c r="W63">
        <v>1051.8</v>
      </c>
      <c r="X63">
        <v>1052.3</v>
      </c>
      <c r="Y63">
        <v>1052</v>
      </c>
      <c r="Z63">
        <v>1051.75</v>
      </c>
      <c r="AA63">
        <v>1051.83</v>
      </c>
      <c r="AB63">
        <v>1052</v>
      </c>
      <c r="AC63">
        <v>1051.3900000000001</v>
      </c>
      <c r="AD63">
        <v>1051.28</v>
      </c>
      <c r="AE63">
        <v>1051.43</v>
      </c>
      <c r="AF63">
        <v>1051.4100000000001</v>
      </c>
      <c r="AG63">
        <v>1051.26</v>
      </c>
      <c r="AH63">
        <v>1051.4100000000001</v>
      </c>
      <c r="AI63">
        <v>1051.5</v>
      </c>
      <c r="AJ63">
        <v>1051.17</v>
      </c>
      <c r="AK63">
        <v>1051.83</v>
      </c>
      <c r="AL63">
        <v>1051.25</v>
      </c>
      <c r="AM63">
        <v>1051.44</v>
      </c>
      <c r="AN63">
        <v>1051.95</v>
      </c>
      <c r="AO63">
        <v>1051.6099999999999</v>
      </c>
      <c r="AP63">
        <v>1051.97</v>
      </c>
      <c r="AQ63">
        <v>1051.8</v>
      </c>
      <c r="AR63">
        <v>1051.49</v>
      </c>
      <c r="AS63">
        <v>1051.78</v>
      </c>
      <c r="AT63">
        <v>1052.1500000000001</v>
      </c>
      <c r="AU63">
        <v>1050.9000000000001</v>
      </c>
      <c r="AV63">
        <v>1051.47</v>
      </c>
      <c r="AW63">
        <v>1051.51</v>
      </c>
      <c r="AX63">
        <v>1051.6099999999999</v>
      </c>
      <c r="AY63">
        <v>1051.9100000000001</v>
      </c>
      <c r="AZ63">
        <v>1051.7</v>
      </c>
      <c r="BA63">
        <v>1051.56</v>
      </c>
      <c r="BB63">
        <v>1051.8800000000001</v>
      </c>
      <c r="BC63">
        <v>1052.06</v>
      </c>
      <c r="BD63">
        <v>1052.32</v>
      </c>
      <c r="BE63">
        <v>1051.79</v>
      </c>
      <c r="BF63">
        <v>1051.95</v>
      </c>
      <c r="BG63">
        <v>1051.6199999999999</v>
      </c>
      <c r="BH63">
        <v>1052.1600000000001</v>
      </c>
      <c r="BI63">
        <v>1051.4100000000001</v>
      </c>
      <c r="BJ63">
        <v>1051.68</v>
      </c>
    </row>
    <row r="64" spans="1:62" x14ac:dyDescent="0.25">
      <c r="A64" t="s">
        <v>29</v>
      </c>
      <c r="B64" t="s">
        <v>30</v>
      </c>
      <c r="C64" t="s">
        <v>31</v>
      </c>
      <c r="D64" t="s">
        <v>32</v>
      </c>
      <c r="E64" t="s">
        <v>49</v>
      </c>
      <c r="F64" t="s">
        <v>50</v>
      </c>
      <c r="G64" t="s">
        <v>23</v>
      </c>
      <c r="H64">
        <v>62</v>
      </c>
    </row>
    <row r="65" spans="1:62" x14ac:dyDescent="0.25">
      <c r="A65" s="3">
        <v>46169</v>
      </c>
      <c r="B65" s="3">
        <v>46169</v>
      </c>
      <c r="C65" s="3">
        <v>46169</v>
      </c>
      <c r="D65" s="3">
        <v>46169</v>
      </c>
      <c r="E65" s="3">
        <v>46170</v>
      </c>
      <c r="F65" s="3">
        <v>46170</v>
      </c>
      <c r="G65" s="3">
        <v>46171</v>
      </c>
      <c r="H65" s="3">
        <v>46171</v>
      </c>
      <c r="I65" s="3">
        <v>46171</v>
      </c>
      <c r="J65" s="3">
        <v>46171</v>
      </c>
      <c r="K65" s="3">
        <v>46172</v>
      </c>
      <c r="L65" s="3">
        <v>46172</v>
      </c>
      <c r="M65" s="3">
        <v>46172</v>
      </c>
      <c r="N65" s="3">
        <v>46174</v>
      </c>
      <c r="O65" s="3">
        <v>46174</v>
      </c>
      <c r="P65" s="3">
        <v>46174</v>
      </c>
      <c r="Q65" s="3">
        <v>46174</v>
      </c>
      <c r="R65" s="3">
        <v>46175</v>
      </c>
      <c r="S65" s="3">
        <v>46175</v>
      </c>
      <c r="T65" s="3">
        <v>46175</v>
      </c>
      <c r="U65" s="3">
        <v>46176</v>
      </c>
      <c r="V65" s="3">
        <v>46176</v>
      </c>
      <c r="W65" s="3">
        <v>46176</v>
      </c>
      <c r="X65" s="3">
        <v>46176</v>
      </c>
      <c r="Y65" s="3">
        <v>46176</v>
      </c>
      <c r="Z65" s="3">
        <v>46176</v>
      </c>
      <c r="AA65" s="3">
        <v>46176</v>
      </c>
      <c r="AB65" s="3">
        <v>46177</v>
      </c>
      <c r="AC65" s="3">
        <v>46178</v>
      </c>
      <c r="AD65" s="3">
        <v>46178</v>
      </c>
      <c r="AE65" s="3">
        <v>46178</v>
      </c>
      <c r="AF65" s="3">
        <v>46179</v>
      </c>
      <c r="AG65" s="3">
        <v>46180</v>
      </c>
      <c r="AH65" s="3">
        <v>46180</v>
      </c>
      <c r="AI65" s="3">
        <v>46180</v>
      </c>
      <c r="AJ65" s="3">
        <v>46180</v>
      </c>
      <c r="AK65" s="3">
        <v>46181</v>
      </c>
      <c r="AL65" s="3">
        <v>46181</v>
      </c>
      <c r="AM65" s="3">
        <v>46181</v>
      </c>
      <c r="AN65" s="3">
        <v>46181</v>
      </c>
      <c r="AO65" s="3">
        <v>46181</v>
      </c>
      <c r="AP65" s="3">
        <v>46182</v>
      </c>
      <c r="AQ65" s="3">
        <v>46182</v>
      </c>
      <c r="AR65" s="3">
        <v>46182</v>
      </c>
      <c r="AS65" s="3">
        <v>46182</v>
      </c>
      <c r="AT65" s="3">
        <v>46182</v>
      </c>
      <c r="AU65" s="3">
        <v>46183</v>
      </c>
      <c r="AV65" s="3">
        <v>46183</v>
      </c>
      <c r="AW65" s="3">
        <v>46183</v>
      </c>
      <c r="AX65" s="3">
        <v>46183</v>
      </c>
      <c r="AY65" s="3">
        <v>46183</v>
      </c>
      <c r="AZ65" s="3">
        <v>46184</v>
      </c>
      <c r="BA65" s="3">
        <v>46184</v>
      </c>
      <c r="BB65" s="3">
        <v>46184</v>
      </c>
      <c r="BC65" s="3">
        <v>46184</v>
      </c>
      <c r="BD65" s="3">
        <v>46184</v>
      </c>
      <c r="BE65" s="3">
        <v>46185</v>
      </c>
      <c r="BF65" s="3">
        <v>46185</v>
      </c>
      <c r="BG65" s="3">
        <v>46185</v>
      </c>
      <c r="BH65" s="3">
        <v>46185</v>
      </c>
      <c r="BI65" s="3">
        <v>46186</v>
      </c>
      <c r="BJ65" s="3">
        <v>46186</v>
      </c>
    </row>
    <row r="66" spans="1:62" x14ac:dyDescent="0.25">
      <c r="A66">
        <v>816948</v>
      </c>
      <c r="B66">
        <v>816987</v>
      </c>
      <c r="C66">
        <v>816998</v>
      </c>
      <c r="D66">
        <v>817092</v>
      </c>
      <c r="E66">
        <v>817353</v>
      </c>
      <c r="F66">
        <v>817441</v>
      </c>
      <c r="G66">
        <v>817773</v>
      </c>
      <c r="H66">
        <v>817861</v>
      </c>
      <c r="I66">
        <v>817943</v>
      </c>
      <c r="J66">
        <v>817985</v>
      </c>
      <c r="K66">
        <v>818214</v>
      </c>
      <c r="L66">
        <v>818254</v>
      </c>
      <c r="M66">
        <v>818291</v>
      </c>
      <c r="N66">
        <v>818439</v>
      </c>
      <c r="O66">
        <v>818580</v>
      </c>
      <c r="P66">
        <v>818627</v>
      </c>
      <c r="Q66">
        <v>818667</v>
      </c>
      <c r="R66">
        <v>818839</v>
      </c>
      <c r="S66">
        <v>818934</v>
      </c>
      <c r="T66">
        <v>819019</v>
      </c>
      <c r="U66">
        <v>819103</v>
      </c>
      <c r="V66">
        <v>819271</v>
      </c>
      <c r="W66">
        <v>819315</v>
      </c>
      <c r="X66">
        <v>819370</v>
      </c>
      <c r="Y66">
        <v>819445</v>
      </c>
      <c r="Z66">
        <v>819491</v>
      </c>
      <c r="AA66">
        <v>819533</v>
      </c>
      <c r="AB66">
        <v>819706</v>
      </c>
      <c r="AC66">
        <v>819995</v>
      </c>
      <c r="AD66">
        <v>820041</v>
      </c>
      <c r="AE66">
        <v>820088</v>
      </c>
      <c r="AF66">
        <v>820271</v>
      </c>
      <c r="AG66">
        <v>820495</v>
      </c>
      <c r="AH66">
        <v>820568</v>
      </c>
      <c r="AI66">
        <v>820630</v>
      </c>
      <c r="AJ66">
        <v>820670</v>
      </c>
      <c r="AK66">
        <v>820873</v>
      </c>
      <c r="AL66">
        <v>820921</v>
      </c>
      <c r="AM66">
        <v>820957</v>
      </c>
      <c r="AN66">
        <v>821024</v>
      </c>
      <c r="AO66">
        <v>821060</v>
      </c>
      <c r="AP66">
        <v>821288</v>
      </c>
      <c r="AQ66">
        <v>821319</v>
      </c>
      <c r="AR66">
        <v>821356</v>
      </c>
      <c r="AS66">
        <v>821451</v>
      </c>
      <c r="AT66">
        <v>821500</v>
      </c>
      <c r="AU66">
        <v>821710</v>
      </c>
      <c r="AV66">
        <v>821754</v>
      </c>
      <c r="AW66">
        <v>821805</v>
      </c>
      <c r="AX66">
        <v>821885</v>
      </c>
      <c r="AY66">
        <v>821931</v>
      </c>
      <c r="AZ66">
        <v>822143</v>
      </c>
      <c r="BA66">
        <v>822185</v>
      </c>
      <c r="BB66">
        <v>822236</v>
      </c>
      <c r="BC66">
        <v>822306</v>
      </c>
      <c r="BD66">
        <v>822352</v>
      </c>
      <c r="BE66">
        <v>822558</v>
      </c>
      <c r="BF66">
        <v>822647</v>
      </c>
      <c r="BG66">
        <v>822737</v>
      </c>
      <c r="BH66">
        <v>822777</v>
      </c>
      <c r="BI66">
        <v>823003</v>
      </c>
      <c r="BJ66">
        <v>823082</v>
      </c>
    </row>
    <row r="67" spans="1:62" x14ac:dyDescent="0.25">
      <c r="A67">
        <v>652</v>
      </c>
      <c r="B67">
        <v>652</v>
      </c>
      <c r="C67">
        <v>652</v>
      </c>
      <c r="D67">
        <v>652</v>
      </c>
      <c r="E67">
        <v>652</v>
      </c>
      <c r="F67">
        <v>652</v>
      </c>
      <c r="G67">
        <v>652</v>
      </c>
      <c r="H67">
        <v>652</v>
      </c>
      <c r="I67">
        <v>652</v>
      </c>
      <c r="J67">
        <v>652</v>
      </c>
      <c r="K67">
        <v>652</v>
      </c>
      <c r="L67">
        <v>652</v>
      </c>
      <c r="M67">
        <v>652</v>
      </c>
      <c r="N67">
        <v>652</v>
      </c>
      <c r="O67">
        <v>652</v>
      </c>
      <c r="P67">
        <v>652</v>
      </c>
      <c r="Q67">
        <v>652</v>
      </c>
      <c r="R67">
        <v>652</v>
      </c>
      <c r="S67">
        <v>652</v>
      </c>
      <c r="T67">
        <v>652</v>
      </c>
      <c r="U67">
        <v>652</v>
      </c>
      <c r="V67">
        <v>652</v>
      </c>
      <c r="W67">
        <v>652</v>
      </c>
      <c r="X67">
        <v>652</v>
      </c>
      <c r="Y67">
        <v>652</v>
      </c>
      <c r="Z67">
        <v>652</v>
      </c>
      <c r="AA67">
        <v>652</v>
      </c>
      <c r="AB67">
        <v>652</v>
      </c>
      <c r="AC67">
        <v>652</v>
      </c>
      <c r="AD67">
        <v>652</v>
      </c>
      <c r="AE67">
        <v>652</v>
      </c>
      <c r="AF67">
        <v>652</v>
      </c>
      <c r="AG67">
        <v>652</v>
      </c>
      <c r="AH67">
        <v>652</v>
      </c>
      <c r="AI67">
        <v>652</v>
      </c>
      <c r="AJ67">
        <v>652</v>
      </c>
      <c r="AK67">
        <v>652</v>
      </c>
      <c r="AL67">
        <v>652</v>
      </c>
      <c r="AM67">
        <v>652</v>
      </c>
      <c r="AN67">
        <v>652</v>
      </c>
      <c r="AO67">
        <v>652</v>
      </c>
      <c r="AP67">
        <v>652</v>
      </c>
      <c r="AQ67">
        <v>652</v>
      </c>
      <c r="AR67">
        <v>652</v>
      </c>
      <c r="AS67">
        <v>652</v>
      </c>
      <c r="AT67">
        <v>652</v>
      </c>
      <c r="AU67">
        <v>652</v>
      </c>
      <c r="AV67">
        <v>652</v>
      </c>
      <c r="AW67">
        <v>652</v>
      </c>
      <c r="AX67">
        <v>652</v>
      </c>
      <c r="AY67">
        <v>652</v>
      </c>
      <c r="AZ67">
        <v>652</v>
      </c>
      <c r="BA67">
        <v>652</v>
      </c>
      <c r="BB67">
        <v>652</v>
      </c>
      <c r="BC67">
        <v>652</v>
      </c>
      <c r="BD67">
        <v>652</v>
      </c>
      <c r="BE67">
        <v>652</v>
      </c>
      <c r="BF67">
        <v>652</v>
      </c>
      <c r="BG67">
        <v>652</v>
      </c>
      <c r="BH67">
        <v>652</v>
      </c>
      <c r="BI67">
        <v>652</v>
      </c>
      <c r="BJ67">
        <v>652</v>
      </c>
    </row>
    <row r="68" spans="1:62" x14ac:dyDescent="0.25">
      <c r="A68">
        <v>649</v>
      </c>
      <c r="B68">
        <v>649</v>
      </c>
      <c r="C68">
        <v>649</v>
      </c>
      <c r="D68">
        <v>649</v>
      </c>
      <c r="E68">
        <v>649</v>
      </c>
      <c r="F68">
        <v>649</v>
      </c>
      <c r="G68">
        <v>649</v>
      </c>
      <c r="H68">
        <v>649</v>
      </c>
      <c r="I68">
        <v>649</v>
      </c>
      <c r="J68">
        <v>649</v>
      </c>
      <c r="K68">
        <v>649</v>
      </c>
      <c r="L68">
        <v>649</v>
      </c>
      <c r="M68">
        <v>649</v>
      </c>
      <c r="N68">
        <v>649</v>
      </c>
      <c r="O68">
        <v>649</v>
      </c>
      <c r="P68">
        <v>649</v>
      </c>
      <c r="Q68">
        <v>649</v>
      </c>
      <c r="R68">
        <v>649</v>
      </c>
      <c r="S68">
        <v>649</v>
      </c>
      <c r="T68">
        <v>649</v>
      </c>
      <c r="U68">
        <v>649</v>
      </c>
      <c r="V68">
        <v>649</v>
      </c>
      <c r="W68">
        <v>649</v>
      </c>
      <c r="X68">
        <v>649</v>
      </c>
      <c r="Y68">
        <v>649</v>
      </c>
      <c r="Z68">
        <v>649</v>
      </c>
      <c r="AA68">
        <v>649</v>
      </c>
      <c r="AB68">
        <v>649</v>
      </c>
      <c r="AC68">
        <v>649</v>
      </c>
      <c r="AD68">
        <v>649</v>
      </c>
      <c r="AE68">
        <v>649</v>
      </c>
      <c r="AF68">
        <v>649</v>
      </c>
      <c r="AG68">
        <v>649</v>
      </c>
      <c r="AH68">
        <v>649</v>
      </c>
      <c r="AI68">
        <v>649</v>
      </c>
      <c r="AJ68">
        <v>649</v>
      </c>
      <c r="AK68">
        <v>649</v>
      </c>
      <c r="AL68">
        <v>649</v>
      </c>
      <c r="AM68">
        <v>649</v>
      </c>
      <c r="AN68">
        <v>649</v>
      </c>
      <c r="AO68">
        <v>649</v>
      </c>
      <c r="AP68">
        <v>649</v>
      </c>
      <c r="AQ68">
        <v>649</v>
      </c>
      <c r="AR68">
        <v>649</v>
      </c>
      <c r="AS68">
        <v>649</v>
      </c>
      <c r="AT68">
        <v>649</v>
      </c>
      <c r="AU68">
        <v>649</v>
      </c>
      <c r="AV68">
        <v>649</v>
      </c>
      <c r="AW68">
        <v>649</v>
      </c>
      <c r="AX68">
        <v>649</v>
      </c>
      <c r="AY68">
        <v>649</v>
      </c>
      <c r="AZ68">
        <v>649</v>
      </c>
      <c r="BA68">
        <v>649</v>
      </c>
      <c r="BB68">
        <v>649</v>
      </c>
      <c r="BC68">
        <v>649</v>
      </c>
      <c r="BD68">
        <v>649</v>
      </c>
      <c r="BE68">
        <v>649</v>
      </c>
      <c r="BF68">
        <v>649</v>
      </c>
      <c r="BG68">
        <v>649</v>
      </c>
      <c r="BH68">
        <v>649</v>
      </c>
      <c r="BI68">
        <v>649</v>
      </c>
      <c r="BJ68">
        <v>649</v>
      </c>
    </row>
    <row r="69" spans="1:62" x14ac:dyDescent="0.25">
      <c r="A69">
        <v>655</v>
      </c>
      <c r="B69">
        <v>655</v>
      </c>
      <c r="C69">
        <v>655</v>
      </c>
      <c r="D69">
        <v>655</v>
      </c>
      <c r="E69">
        <v>655</v>
      </c>
      <c r="F69">
        <v>655</v>
      </c>
      <c r="G69">
        <v>655</v>
      </c>
      <c r="H69">
        <v>655</v>
      </c>
      <c r="I69">
        <v>655</v>
      </c>
      <c r="J69">
        <v>655</v>
      </c>
      <c r="K69">
        <v>655</v>
      </c>
      <c r="L69">
        <v>655</v>
      </c>
      <c r="M69">
        <v>655</v>
      </c>
      <c r="N69">
        <v>655</v>
      </c>
      <c r="O69">
        <v>655</v>
      </c>
      <c r="P69">
        <v>655</v>
      </c>
      <c r="Q69">
        <v>655</v>
      </c>
      <c r="R69">
        <v>655</v>
      </c>
      <c r="S69">
        <v>655</v>
      </c>
      <c r="T69">
        <v>655</v>
      </c>
      <c r="U69">
        <v>655</v>
      </c>
      <c r="V69">
        <v>655</v>
      </c>
      <c r="W69">
        <v>655</v>
      </c>
      <c r="X69">
        <v>655</v>
      </c>
      <c r="Y69">
        <v>655</v>
      </c>
      <c r="Z69">
        <v>655</v>
      </c>
      <c r="AA69">
        <v>655</v>
      </c>
      <c r="AB69">
        <v>655</v>
      </c>
      <c r="AC69">
        <v>655</v>
      </c>
      <c r="AD69">
        <v>655</v>
      </c>
      <c r="AE69">
        <v>655</v>
      </c>
      <c r="AF69">
        <v>655</v>
      </c>
      <c r="AG69">
        <v>655</v>
      </c>
      <c r="AH69">
        <v>655</v>
      </c>
      <c r="AI69">
        <v>655</v>
      </c>
      <c r="AJ69">
        <v>655</v>
      </c>
      <c r="AK69">
        <v>655</v>
      </c>
      <c r="AL69">
        <v>655</v>
      </c>
      <c r="AM69">
        <v>655</v>
      </c>
      <c r="AN69">
        <v>655</v>
      </c>
      <c r="AO69">
        <v>655</v>
      </c>
      <c r="AP69">
        <v>655</v>
      </c>
      <c r="AQ69">
        <v>655</v>
      </c>
      <c r="AR69">
        <v>655</v>
      </c>
      <c r="AS69">
        <v>655</v>
      </c>
      <c r="AT69">
        <v>655</v>
      </c>
      <c r="AU69">
        <v>655</v>
      </c>
      <c r="AV69">
        <v>655</v>
      </c>
      <c r="AW69">
        <v>655</v>
      </c>
      <c r="AX69">
        <v>655</v>
      </c>
      <c r="AY69">
        <v>655</v>
      </c>
      <c r="AZ69">
        <v>655</v>
      </c>
      <c r="BA69">
        <v>655</v>
      </c>
      <c r="BB69">
        <v>655</v>
      </c>
      <c r="BC69">
        <v>655</v>
      </c>
      <c r="BD69">
        <v>655</v>
      </c>
      <c r="BE69">
        <v>655</v>
      </c>
      <c r="BF69">
        <v>655</v>
      </c>
      <c r="BG69">
        <v>655</v>
      </c>
      <c r="BH69">
        <v>655</v>
      </c>
      <c r="BI69">
        <v>655</v>
      </c>
      <c r="BJ69">
        <v>655</v>
      </c>
    </row>
    <row r="70" spans="1:62" x14ac:dyDescent="0.25">
      <c r="A70">
        <v>655.83</v>
      </c>
      <c r="B70">
        <v>653.71</v>
      </c>
      <c r="C70">
        <v>655.08000000000004</v>
      </c>
      <c r="D70">
        <v>654.20000000000005</v>
      </c>
      <c r="E70">
        <v>654.29999999999995</v>
      </c>
      <c r="F70">
        <v>654.4</v>
      </c>
      <c r="G70">
        <v>655</v>
      </c>
      <c r="H70">
        <v>655.1</v>
      </c>
      <c r="I70">
        <v>655.1</v>
      </c>
      <c r="J70">
        <v>656.24</v>
      </c>
      <c r="K70">
        <v>653.97</v>
      </c>
      <c r="L70">
        <v>653.84</v>
      </c>
      <c r="M70">
        <v>654.46</v>
      </c>
      <c r="N70">
        <v>655.84</v>
      </c>
      <c r="O70">
        <v>654.67999999999995</v>
      </c>
      <c r="P70">
        <v>653.84</v>
      </c>
      <c r="Q70">
        <v>654.67999999999995</v>
      </c>
      <c r="R70">
        <v>654.99</v>
      </c>
      <c r="S70">
        <v>655.1</v>
      </c>
      <c r="T70">
        <v>654.20000000000005</v>
      </c>
      <c r="U70">
        <v>655.4</v>
      </c>
      <c r="V70">
        <v>655.62</v>
      </c>
      <c r="W70">
        <v>655.1</v>
      </c>
      <c r="X70">
        <v>656.4</v>
      </c>
      <c r="Y70">
        <v>656.2</v>
      </c>
      <c r="Z70">
        <v>653.6</v>
      </c>
      <c r="AA70">
        <v>655.37</v>
      </c>
      <c r="AB70">
        <v>654.91999999999996</v>
      </c>
      <c r="AC70">
        <v>656.12</v>
      </c>
      <c r="AD70">
        <v>655.71</v>
      </c>
      <c r="AE70">
        <v>654.85</v>
      </c>
      <c r="AF70">
        <v>654.58000000000004</v>
      </c>
      <c r="AG70">
        <v>655.14</v>
      </c>
      <c r="AH70">
        <v>656</v>
      </c>
      <c r="AI70">
        <v>654.6</v>
      </c>
      <c r="AJ70">
        <v>655.92</v>
      </c>
      <c r="AK70">
        <v>656.03</v>
      </c>
      <c r="AL70">
        <v>654.08000000000004</v>
      </c>
      <c r="AM70">
        <v>654.57000000000005</v>
      </c>
      <c r="AN70">
        <v>654.70000000000005</v>
      </c>
      <c r="AO70">
        <v>654.66</v>
      </c>
      <c r="AP70">
        <v>656.71</v>
      </c>
      <c r="AQ70">
        <v>655.65</v>
      </c>
      <c r="AR70">
        <v>655.91</v>
      </c>
      <c r="AS70">
        <v>654.62</v>
      </c>
      <c r="AT70">
        <v>655.94</v>
      </c>
      <c r="AU70">
        <v>655.1</v>
      </c>
      <c r="AV70">
        <v>654.16999999999996</v>
      </c>
      <c r="AW70">
        <v>654.57000000000005</v>
      </c>
      <c r="AX70">
        <v>655.74</v>
      </c>
      <c r="AY70">
        <v>655.48</v>
      </c>
      <c r="AZ70">
        <v>656.03</v>
      </c>
      <c r="BA70">
        <v>654.78</v>
      </c>
      <c r="BB70">
        <v>655.1</v>
      </c>
      <c r="BC70">
        <v>655.25</v>
      </c>
      <c r="BD70">
        <v>655.51</v>
      </c>
      <c r="BE70">
        <v>655.53</v>
      </c>
      <c r="BF70">
        <v>656.32</v>
      </c>
      <c r="BG70">
        <v>656.03</v>
      </c>
      <c r="BH70">
        <v>657.7</v>
      </c>
      <c r="BI70">
        <v>656.49</v>
      </c>
      <c r="BJ70">
        <v>654.82000000000005</v>
      </c>
    </row>
    <row r="71" spans="1:62" x14ac:dyDescent="0.25">
      <c r="A71" t="s">
        <v>29</v>
      </c>
      <c r="B71" t="s">
        <v>30</v>
      </c>
      <c r="C71" t="s">
        <v>31</v>
      </c>
      <c r="D71" t="s">
        <v>32</v>
      </c>
      <c r="E71" t="s">
        <v>51</v>
      </c>
      <c r="F71" t="s">
        <v>52</v>
      </c>
      <c r="G71" t="s">
        <v>24</v>
      </c>
      <c r="H71">
        <v>62</v>
      </c>
    </row>
    <row r="72" spans="1:62" x14ac:dyDescent="0.25">
      <c r="A72" s="3">
        <v>46169</v>
      </c>
      <c r="B72" s="3">
        <v>46169</v>
      </c>
      <c r="C72" s="3">
        <v>46169</v>
      </c>
      <c r="D72" s="3">
        <v>46169</v>
      </c>
      <c r="E72" s="3">
        <v>46170</v>
      </c>
      <c r="F72" s="3">
        <v>46170</v>
      </c>
      <c r="G72" s="3">
        <v>46171</v>
      </c>
      <c r="H72" s="3">
        <v>46171</v>
      </c>
      <c r="I72" s="3">
        <v>46171</v>
      </c>
      <c r="J72" s="3">
        <v>46171</v>
      </c>
      <c r="K72" s="3">
        <v>46172</v>
      </c>
      <c r="L72" s="3">
        <v>46172</v>
      </c>
      <c r="M72" s="3">
        <v>46172</v>
      </c>
      <c r="N72" s="3">
        <v>46174</v>
      </c>
      <c r="O72" s="3">
        <v>46174</v>
      </c>
      <c r="P72" s="3">
        <v>46174</v>
      </c>
      <c r="Q72" s="3">
        <v>46174</v>
      </c>
      <c r="R72" s="3">
        <v>46175</v>
      </c>
      <c r="S72" s="3">
        <v>46175</v>
      </c>
      <c r="T72" s="3">
        <v>46175</v>
      </c>
      <c r="U72" s="3">
        <v>46176</v>
      </c>
      <c r="V72" s="3">
        <v>46176</v>
      </c>
      <c r="W72" s="3">
        <v>46176</v>
      </c>
      <c r="X72" s="3">
        <v>46176</v>
      </c>
      <c r="Y72" s="3">
        <v>46176</v>
      </c>
      <c r="Z72" s="3">
        <v>46176</v>
      </c>
      <c r="AA72" s="3">
        <v>46176</v>
      </c>
      <c r="AB72" s="3">
        <v>46177</v>
      </c>
      <c r="AC72" s="3">
        <v>46178</v>
      </c>
      <c r="AD72" s="3">
        <v>46178</v>
      </c>
      <c r="AE72" s="3">
        <v>46178</v>
      </c>
      <c r="AF72" s="3">
        <v>46179</v>
      </c>
      <c r="AG72" s="3">
        <v>46180</v>
      </c>
      <c r="AH72" s="3">
        <v>46180</v>
      </c>
      <c r="AI72" s="3">
        <v>46180</v>
      </c>
      <c r="AJ72" s="3">
        <v>46180</v>
      </c>
      <c r="AK72" s="3">
        <v>46181</v>
      </c>
      <c r="AL72" s="3">
        <v>46181</v>
      </c>
      <c r="AM72" s="3">
        <v>46181</v>
      </c>
      <c r="AN72" s="3">
        <v>46181</v>
      </c>
      <c r="AO72" s="3">
        <v>46181</v>
      </c>
      <c r="AP72" s="3">
        <v>46182</v>
      </c>
      <c r="AQ72" s="3">
        <v>46182</v>
      </c>
      <c r="AR72" s="3">
        <v>46182</v>
      </c>
      <c r="AS72" s="3">
        <v>46182</v>
      </c>
      <c r="AT72" s="3">
        <v>46182</v>
      </c>
      <c r="AU72" s="3">
        <v>46183</v>
      </c>
      <c r="AV72" s="3">
        <v>46183</v>
      </c>
      <c r="AW72" s="3">
        <v>46183</v>
      </c>
      <c r="AX72" s="3">
        <v>46183</v>
      </c>
      <c r="AY72" s="3">
        <v>46183</v>
      </c>
      <c r="AZ72" s="3">
        <v>46184</v>
      </c>
      <c r="BA72" s="3">
        <v>46184</v>
      </c>
      <c r="BB72" s="3">
        <v>46184</v>
      </c>
      <c r="BC72" s="3">
        <v>46184</v>
      </c>
      <c r="BD72" s="3">
        <v>46184</v>
      </c>
      <c r="BE72" s="3">
        <v>46185</v>
      </c>
      <c r="BF72" s="3">
        <v>46185</v>
      </c>
      <c r="BG72" s="3">
        <v>46185</v>
      </c>
      <c r="BH72" s="3">
        <v>46185</v>
      </c>
      <c r="BI72" s="3">
        <v>46186</v>
      </c>
      <c r="BJ72" s="3">
        <v>46186</v>
      </c>
    </row>
    <row r="73" spans="1:62" x14ac:dyDescent="0.25">
      <c r="A73">
        <v>816948</v>
      </c>
      <c r="B73">
        <v>816987</v>
      </c>
      <c r="C73">
        <v>816998</v>
      </c>
      <c r="D73">
        <v>817092</v>
      </c>
      <c r="E73">
        <v>817353</v>
      </c>
      <c r="F73">
        <v>817441</v>
      </c>
      <c r="G73">
        <v>817773</v>
      </c>
      <c r="H73">
        <v>817861</v>
      </c>
      <c r="I73">
        <v>817943</v>
      </c>
      <c r="J73">
        <v>817985</v>
      </c>
      <c r="K73">
        <v>818214</v>
      </c>
      <c r="L73">
        <v>818254</v>
      </c>
      <c r="M73">
        <v>818291</v>
      </c>
      <c r="N73">
        <v>818439</v>
      </c>
      <c r="O73">
        <v>818580</v>
      </c>
      <c r="P73">
        <v>818627</v>
      </c>
      <c r="Q73">
        <v>818667</v>
      </c>
      <c r="R73">
        <v>818839</v>
      </c>
      <c r="S73">
        <v>818934</v>
      </c>
      <c r="T73">
        <v>819019</v>
      </c>
      <c r="U73">
        <v>819103</v>
      </c>
      <c r="V73">
        <v>819271</v>
      </c>
      <c r="W73">
        <v>819315</v>
      </c>
      <c r="X73">
        <v>819370</v>
      </c>
      <c r="Y73">
        <v>819445</v>
      </c>
      <c r="Z73">
        <v>819491</v>
      </c>
      <c r="AA73">
        <v>819533</v>
      </c>
      <c r="AB73">
        <v>819706</v>
      </c>
      <c r="AC73">
        <v>819995</v>
      </c>
      <c r="AD73">
        <v>820041</v>
      </c>
      <c r="AE73">
        <v>820088</v>
      </c>
      <c r="AF73">
        <v>820271</v>
      </c>
      <c r="AG73">
        <v>820495</v>
      </c>
      <c r="AH73">
        <v>820568</v>
      </c>
      <c r="AI73">
        <v>820630</v>
      </c>
      <c r="AJ73">
        <v>820670</v>
      </c>
      <c r="AK73">
        <v>820873</v>
      </c>
      <c r="AL73">
        <v>820921</v>
      </c>
      <c r="AM73">
        <v>820957</v>
      </c>
      <c r="AN73">
        <v>821024</v>
      </c>
      <c r="AO73">
        <v>821060</v>
      </c>
      <c r="AP73">
        <v>821288</v>
      </c>
      <c r="AQ73">
        <v>821319</v>
      </c>
      <c r="AR73">
        <v>821356</v>
      </c>
      <c r="AS73">
        <v>821451</v>
      </c>
      <c r="AT73">
        <v>821500</v>
      </c>
      <c r="AU73">
        <v>821710</v>
      </c>
      <c r="AV73">
        <v>821754</v>
      </c>
      <c r="AW73">
        <v>821805</v>
      </c>
      <c r="AX73">
        <v>821885</v>
      </c>
      <c r="AY73">
        <v>821931</v>
      </c>
      <c r="AZ73">
        <v>822143</v>
      </c>
      <c r="BA73">
        <v>822185</v>
      </c>
      <c r="BB73">
        <v>822236</v>
      </c>
      <c r="BC73">
        <v>822306</v>
      </c>
      <c r="BD73">
        <v>822352</v>
      </c>
      <c r="BE73">
        <v>822558</v>
      </c>
      <c r="BF73">
        <v>822647</v>
      </c>
      <c r="BG73">
        <v>822737</v>
      </c>
      <c r="BH73">
        <v>822777</v>
      </c>
      <c r="BI73">
        <v>823003</v>
      </c>
      <c r="BJ73">
        <v>823082</v>
      </c>
    </row>
    <row r="74" spans="1:62" x14ac:dyDescent="0.25">
      <c r="A74">
        <v>420</v>
      </c>
      <c r="B74">
        <v>420</v>
      </c>
      <c r="C74">
        <v>420</v>
      </c>
      <c r="D74">
        <v>420</v>
      </c>
      <c r="E74">
        <v>420</v>
      </c>
      <c r="F74">
        <v>420</v>
      </c>
      <c r="G74">
        <v>420</v>
      </c>
      <c r="H74">
        <v>420</v>
      </c>
      <c r="I74">
        <v>420</v>
      </c>
      <c r="J74">
        <v>420</v>
      </c>
      <c r="K74">
        <v>420</v>
      </c>
      <c r="L74">
        <v>420</v>
      </c>
      <c r="M74">
        <v>420</v>
      </c>
      <c r="N74">
        <v>420</v>
      </c>
      <c r="O74">
        <v>420</v>
      </c>
      <c r="P74">
        <v>420</v>
      </c>
      <c r="Q74">
        <v>420</v>
      </c>
      <c r="R74">
        <v>420</v>
      </c>
      <c r="S74">
        <v>420</v>
      </c>
      <c r="T74">
        <v>420</v>
      </c>
      <c r="U74">
        <v>420</v>
      </c>
      <c r="V74">
        <v>420</v>
      </c>
      <c r="W74">
        <v>420</v>
      </c>
      <c r="X74">
        <v>420</v>
      </c>
      <c r="Y74">
        <v>420</v>
      </c>
      <c r="Z74">
        <v>420</v>
      </c>
      <c r="AA74">
        <v>420</v>
      </c>
      <c r="AB74">
        <v>420</v>
      </c>
      <c r="AC74">
        <v>420</v>
      </c>
      <c r="AD74">
        <v>420</v>
      </c>
      <c r="AE74">
        <v>420</v>
      </c>
      <c r="AF74">
        <v>420</v>
      </c>
      <c r="AG74">
        <v>420</v>
      </c>
      <c r="AH74">
        <v>420</v>
      </c>
      <c r="AI74">
        <v>420</v>
      </c>
      <c r="AJ74">
        <v>420</v>
      </c>
      <c r="AK74">
        <v>420</v>
      </c>
      <c r="AL74">
        <v>420</v>
      </c>
      <c r="AM74">
        <v>420</v>
      </c>
      <c r="AN74">
        <v>420</v>
      </c>
      <c r="AO74">
        <v>420</v>
      </c>
      <c r="AP74">
        <v>420</v>
      </c>
      <c r="AQ74">
        <v>420</v>
      </c>
      <c r="AR74">
        <v>420</v>
      </c>
      <c r="AS74">
        <v>420</v>
      </c>
      <c r="AT74">
        <v>420</v>
      </c>
      <c r="AU74">
        <v>420</v>
      </c>
      <c r="AV74">
        <v>420</v>
      </c>
      <c r="AW74">
        <v>420</v>
      </c>
      <c r="AX74">
        <v>420</v>
      </c>
      <c r="AY74">
        <v>420</v>
      </c>
      <c r="AZ74">
        <v>420</v>
      </c>
      <c r="BA74">
        <v>420</v>
      </c>
      <c r="BB74">
        <v>420</v>
      </c>
      <c r="BC74">
        <v>420</v>
      </c>
      <c r="BD74">
        <v>420</v>
      </c>
      <c r="BE74">
        <v>420</v>
      </c>
      <c r="BF74">
        <v>420</v>
      </c>
      <c r="BG74">
        <v>420</v>
      </c>
      <c r="BH74">
        <v>420</v>
      </c>
      <c r="BI74">
        <v>420</v>
      </c>
      <c r="BJ74">
        <v>420</v>
      </c>
    </row>
    <row r="75" spans="1:62" x14ac:dyDescent="0.25">
      <c r="A75">
        <v>416</v>
      </c>
      <c r="B75">
        <v>416</v>
      </c>
      <c r="C75">
        <v>416</v>
      </c>
      <c r="D75">
        <v>416</v>
      </c>
      <c r="E75">
        <v>416</v>
      </c>
      <c r="F75">
        <v>416</v>
      </c>
      <c r="G75">
        <v>416</v>
      </c>
      <c r="H75">
        <v>416</v>
      </c>
      <c r="I75">
        <v>416</v>
      </c>
      <c r="J75">
        <v>416</v>
      </c>
      <c r="K75">
        <v>416</v>
      </c>
      <c r="L75">
        <v>416</v>
      </c>
      <c r="M75">
        <v>416</v>
      </c>
      <c r="N75">
        <v>416</v>
      </c>
      <c r="O75">
        <v>416</v>
      </c>
      <c r="P75">
        <v>416</v>
      </c>
      <c r="Q75">
        <v>416</v>
      </c>
      <c r="R75">
        <v>416</v>
      </c>
      <c r="S75">
        <v>416</v>
      </c>
      <c r="T75">
        <v>416</v>
      </c>
      <c r="U75">
        <v>416</v>
      </c>
      <c r="V75">
        <v>416</v>
      </c>
      <c r="W75">
        <v>416</v>
      </c>
      <c r="X75">
        <v>416</v>
      </c>
      <c r="Y75">
        <v>416</v>
      </c>
      <c r="Z75">
        <v>416</v>
      </c>
      <c r="AA75">
        <v>416</v>
      </c>
      <c r="AB75">
        <v>416</v>
      </c>
      <c r="AC75">
        <v>416</v>
      </c>
      <c r="AD75">
        <v>416</v>
      </c>
      <c r="AE75">
        <v>416</v>
      </c>
      <c r="AF75">
        <v>416</v>
      </c>
      <c r="AG75">
        <v>416</v>
      </c>
      <c r="AH75">
        <v>416</v>
      </c>
      <c r="AI75">
        <v>416</v>
      </c>
      <c r="AJ75">
        <v>416</v>
      </c>
      <c r="AK75">
        <v>416</v>
      </c>
      <c r="AL75">
        <v>416</v>
      </c>
      <c r="AM75">
        <v>416</v>
      </c>
      <c r="AN75">
        <v>416</v>
      </c>
      <c r="AO75">
        <v>416</v>
      </c>
      <c r="AP75">
        <v>416</v>
      </c>
      <c r="AQ75">
        <v>416</v>
      </c>
      <c r="AR75">
        <v>416</v>
      </c>
      <c r="AS75">
        <v>416</v>
      </c>
      <c r="AT75">
        <v>416</v>
      </c>
      <c r="AU75">
        <v>416</v>
      </c>
      <c r="AV75">
        <v>416</v>
      </c>
      <c r="AW75">
        <v>416</v>
      </c>
      <c r="AX75">
        <v>416</v>
      </c>
      <c r="AY75">
        <v>416</v>
      </c>
      <c r="AZ75">
        <v>416</v>
      </c>
      <c r="BA75">
        <v>416</v>
      </c>
      <c r="BB75">
        <v>416</v>
      </c>
      <c r="BC75">
        <v>416</v>
      </c>
      <c r="BD75">
        <v>416</v>
      </c>
      <c r="BE75">
        <v>416</v>
      </c>
      <c r="BF75">
        <v>416</v>
      </c>
      <c r="BG75">
        <v>416</v>
      </c>
      <c r="BH75">
        <v>416</v>
      </c>
      <c r="BI75">
        <v>416</v>
      </c>
      <c r="BJ75">
        <v>416</v>
      </c>
    </row>
    <row r="76" spans="1:62" x14ac:dyDescent="0.25">
      <c r="A76">
        <v>424</v>
      </c>
      <c r="B76">
        <v>424</v>
      </c>
      <c r="C76">
        <v>424</v>
      </c>
      <c r="D76">
        <v>424</v>
      </c>
      <c r="E76">
        <v>424</v>
      </c>
      <c r="F76">
        <v>424</v>
      </c>
      <c r="G76">
        <v>424</v>
      </c>
      <c r="H76">
        <v>424</v>
      </c>
      <c r="I76">
        <v>424</v>
      </c>
      <c r="J76">
        <v>424</v>
      </c>
      <c r="K76">
        <v>424</v>
      </c>
      <c r="L76">
        <v>424</v>
      </c>
      <c r="M76">
        <v>424</v>
      </c>
      <c r="N76">
        <v>424</v>
      </c>
      <c r="O76">
        <v>424</v>
      </c>
      <c r="P76">
        <v>424</v>
      </c>
      <c r="Q76">
        <v>424</v>
      </c>
      <c r="R76">
        <v>424</v>
      </c>
      <c r="S76">
        <v>424</v>
      </c>
      <c r="T76">
        <v>424</v>
      </c>
      <c r="U76">
        <v>424</v>
      </c>
      <c r="V76">
        <v>424</v>
      </c>
      <c r="W76">
        <v>424</v>
      </c>
      <c r="X76">
        <v>424</v>
      </c>
      <c r="Y76">
        <v>424</v>
      </c>
      <c r="Z76">
        <v>424</v>
      </c>
      <c r="AA76">
        <v>424</v>
      </c>
      <c r="AB76">
        <v>424</v>
      </c>
      <c r="AC76">
        <v>424</v>
      </c>
      <c r="AD76">
        <v>424</v>
      </c>
      <c r="AE76">
        <v>424</v>
      </c>
      <c r="AF76">
        <v>424</v>
      </c>
      <c r="AG76">
        <v>424</v>
      </c>
      <c r="AH76">
        <v>424</v>
      </c>
      <c r="AI76">
        <v>424</v>
      </c>
      <c r="AJ76">
        <v>424</v>
      </c>
      <c r="AK76">
        <v>424</v>
      </c>
      <c r="AL76">
        <v>424</v>
      </c>
      <c r="AM76">
        <v>424</v>
      </c>
      <c r="AN76">
        <v>424</v>
      </c>
      <c r="AO76">
        <v>424</v>
      </c>
      <c r="AP76">
        <v>424</v>
      </c>
      <c r="AQ76">
        <v>424</v>
      </c>
      <c r="AR76">
        <v>424</v>
      </c>
      <c r="AS76">
        <v>424</v>
      </c>
      <c r="AT76">
        <v>424</v>
      </c>
      <c r="AU76">
        <v>424</v>
      </c>
      <c r="AV76">
        <v>424</v>
      </c>
      <c r="AW76">
        <v>424</v>
      </c>
      <c r="AX76">
        <v>424</v>
      </c>
      <c r="AY76">
        <v>424</v>
      </c>
      <c r="AZ76">
        <v>424</v>
      </c>
      <c r="BA76">
        <v>424</v>
      </c>
      <c r="BB76">
        <v>424</v>
      </c>
      <c r="BC76">
        <v>424</v>
      </c>
      <c r="BD76">
        <v>424</v>
      </c>
      <c r="BE76">
        <v>424</v>
      </c>
      <c r="BF76">
        <v>424</v>
      </c>
      <c r="BG76">
        <v>424</v>
      </c>
      <c r="BH76">
        <v>424</v>
      </c>
      <c r="BI76">
        <v>424</v>
      </c>
      <c r="BJ76">
        <v>424</v>
      </c>
    </row>
    <row r="77" spans="1:62" x14ac:dyDescent="0.25">
      <c r="A77">
        <v>418.61</v>
      </c>
      <c r="B77">
        <v>420.34</v>
      </c>
      <c r="C77">
        <v>419.95</v>
      </c>
      <c r="D77">
        <v>420.6</v>
      </c>
      <c r="E77">
        <v>418.6</v>
      </c>
      <c r="F77">
        <v>419.9</v>
      </c>
      <c r="G77">
        <v>418.9</v>
      </c>
      <c r="H77">
        <v>419.7</v>
      </c>
      <c r="I77">
        <v>421.2</v>
      </c>
      <c r="J77">
        <v>420.44</v>
      </c>
      <c r="K77">
        <v>419.25</v>
      </c>
      <c r="L77">
        <v>419.96</v>
      </c>
      <c r="M77">
        <v>420.27</v>
      </c>
      <c r="N77">
        <v>420.36</v>
      </c>
      <c r="O77">
        <v>421.26</v>
      </c>
      <c r="P77">
        <v>421.3</v>
      </c>
      <c r="Q77">
        <v>420.12</v>
      </c>
      <c r="R77">
        <v>419.48</v>
      </c>
      <c r="S77">
        <v>421.4</v>
      </c>
      <c r="T77">
        <v>421.2</v>
      </c>
      <c r="U77">
        <v>421.2</v>
      </c>
      <c r="V77">
        <v>419.63</v>
      </c>
      <c r="W77">
        <v>420.1</v>
      </c>
      <c r="X77">
        <v>421.1</v>
      </c>
      <c r="Y77">
        <v>421.4</v>
      </c>
      <c r="Z77">
        <v>421.09</v>
      </c>
      <c r="AA77">
        <v>420.59</v>
      </c>
      <c r="AB77">
        <v>419.16</v>
      </c>
      <c r="AC77">
        <v>420.18</v>
      </c>
      <c r="AD77">
        <v>420.98</v>
      </c>
      <c r="AE77">
        <v>420.5</v>
      </c>
      <c r="AF77">
        <v>419.6</v>
      </c>
      <c r="AG77">
        <v>420.67</v>
      </c>
      <c r="AH77">
        <v>419.34</v>
      </c>
      <c r="AI77">
        <v>419.8</v>
      </c>
      <c r="AJ77">
        <v>420.53</v>
      </c>
      <c r="AK77">
        <v>419.37</v>
      </c>
      <c r="AL77">
        <v>420.56</v>
      </c>
      <c r="AM77">
        <v>420.32</v>
      </c>
      <c r="AN77">
        <v>419.68</v>
      </c>
      <c r="AO77">
        <v>420.14</v>
      </c>
      <c r="AP77">
        <v>418.37</v>
      </c>
      <c r="AQ77">
        <v>419.92</v>
      </c>
      <c r="AR77">
        <v>420.17</v>
      </c>
      <c r="AS77">
        <v>419.79</v>
      </c>
      <c r="AT77">
        <v>420.7</v>
      </c>
      <c r="AU77">
        <v>418.85</v>
      </c>
      <c r="AV77">
        <v>420.43</v>
      </c>
      <c r="AW77">
        <v>420.55</v>
      </c>
      <c r="AX77">
        <v>421.05</v>
      </c>
      <c r="AY77">
        <v>420.7</v>
      </c>
      <c r="AZ77">
        <v>418.44</v>
      </c>
      <c r="BA77">
        <v>421.33</v>
      </c>
      <c r="BB77">
        <v>420.55</v>
      </c>
      <c r="BC77">
        <v>420.31</v>
      </c>
      <c r="BD77">
        <v>420.78</v>
      </c>
      <c r="BE77">
        <v>418.89</v>
      </c>
      <c r="BF77">
        <v>420.32</v>
      </c>
      <c r="BG77">
        <v>420.28</v>
      </c>
      <c r="BH77">
        <v>420.76</v>
      </c>
      <c r="BI77">
        <v>419.3</v>
      </c>
      <c r="BJ77">
        <v>420.88</v>
      </c>
    </row>
    <row r="78" spans="1:62" x14ac:dyDescent="0.25">
      <c r="A78" t="s">
        <v>29</v>
      </c>
      <c r="B78" t="s">
        <v>30</v>
      </c>
      <c r="C78" t="s">
        <v>53</v>
      </c>
      <c r="D78" t="s">
        <v>54</v>
      </c>
      <c r="E78" t="s">
        <v>55</v>
      </c>
      <c r="F78" t="s">
        <v>56</v>
      </c>
      <c r="G78" t="s">
        <v>17</v>
      </c>
      <c r="H78">
        <v>62</v>
      </c>
    </row>
    <row r="79" spans="1:62" x14ac:dyDescent="0.25">
      <c r="A79" s="3">
        <v>46169</v>
      </c>
      <c r="B79" s="3">
        <v>46169</v>
      </c>
      <c r="C79" s="3">
        <v>46169</v>
      </c>
      <c r="D79" s="3">
        <v>46169</v>
      </c>
      <c r="E79" s="3">
        <v>46170</v>
      </c>
      <c r="F79" s="3">
        <v>46170</v>
      </c>
      <c r="G79" s="3">
        <v>46171</v>
      </c>
      <c r="H79" s="3">
        <v>46171</v>
      </c>
      <c r="I79" s="3">
        <v>46171</v>
      </c>
      <c r="J79" s="3">
        <v>46171</v>
      </c>
      <c r="K79" s="3">
        <v>46172</v>
      </c>
      <c r="L79" s="3">
        <v>46172</v>
      </c>
      <c r="M79" s="3">
        <v>46172</v>
      </c>
      <c r="N79" s="3">
        <v>46174</v>
      </c>
      <c r="O79" s="3">
        <v>46174</v>
      </c>
      <c r="P79" s="3">
        <v>46174</v>
      </c>
      <c r="Q79" s="3">
        <v>46174</v>
      </c>
      <c r="R79" s="3">
        <v>46175</v>
      </c>
      <c r="S79" s="3">
        <v>46175</v>
      </c>
      <c r="T79" s="3">
        <v>46175</v>
      </c>
      <c r="U79" s="3">
        <v>46176</v>
      </c>
      <c r="V79" s="3">
        <v>46176</v>
      </c>
      <c r="W79" s="3">
        <v>46176</v>
      </c>
      <c r="X79" s="3">
        <v>46176</v>
      </c>
      <c r="Y79" s="3">
        <v>46176</v>
      </c>
      <c r="Z79" s="3">
        <v>46176</v>
      </c>
      <c r="AA79" s="3">
        <v>46176</v>
      </c>
      <c r="AB79" s="3">
        <v>46177</v>
      </c>
      <c r="AC79" s="3">
        <v>46178</v>
      </c>
      <c r="AD79" s="3">
        <v>46178</v>
      </c>
      <c r="AE79" s="3">
        <v>46178</v>
      </c>
      <c r="AF79" s="3">
        <v>46179</v>
      </c>
      <c r="AG79" s="3">
        <v>46180</v>
      </c>
      <c r="AH79" s="3">
        <v>46180</v>
      </c>
      <c r="AI79" s="3">
        <v>46180</v>
      </c>
      <c r="AJ79" s="3">
        <v>46180</v>
      </c>
      <c r="AK79" s="3">
        <v>46181</v>
      </c>
      <c r="AL79" s="3">
        <v>46181</v>
      </c>
      <c r="AM79" s="3">
        <v>46181</v>
      </c>
      <c r="AN79" s="3">
        <v>46181</v>
      </c>
      <c r="AO79" s="3">
        <v>46181</v>
      </c>
      <c r="AP79" s="3">
        <v>46182</v>
      </c>
      <c r="AQ79" s="3">
        <v>46182</v>
      </c>
      <c r="AR79" s="3">
        <v>46182</v>
      </c>
      <c r="AS79" s="3">
        <v>46182</v>
      </c>
      <c r="AT79" s="3">
        <v>46182</v>
      </c>
      <c r="AU79" s="3">
        <v>46183</v>
      </c>
      <c r="AV79" s="3">
        <v>46183</v>
      </c>
      <c r="AW79" s="3">
        <v>46183</v>
      </c>
      <c r="AX79" s="3">
        <v>46183</v>
      </c>
      <c r="AY79" s="3">
        <v>46183</v>
      </c>
      <c r="AZ79" s="3">
        <v>46184</v>
      </c>
      <c r="BA79" s="3">
        <v>46184</v>
      </c>
      <c r="BB79" s="3">
        <v>46184</v>
      </c>
      <c r="BC79" s="3">
        <v>46184</v>
      </c>
      <c r="BD79" s="3">
        <v>46184</v>
      </c>
      <c r="BE79" s="3">
        <v>46185</v>
      </c>
      <c r="BF79" s="3">
        <v>46185</v>
      </c>
      <c r="BG79" s="3">
        <v>46185</v>
      </c>
      <c r="BH79" s="3">
        <v>46185</v>
      </c>
      <c r="BI79" s="3">
        <v>46186</v>
      </c>
      <c r="BJ79" s="3">
        <v>46186</v>
      </c>
    </row>
    <row r="80" spans="1:62" x14ac:dyDescent="0.25">
      <c r="A80">
        <v>816948</v>
      </c>
      <c r="B80">
        <v>816987</v>
      </c>
      <c r="C80">
        <v>816998</v>
      </c>
      <c r="D80">
        <v>817092</v>
      </c>
      <c r="E80">
        <v>817353</v>
      </c>
      <c r="F80">
        <v>817441</v>
      </c>
      <c r="G80">
        <v>817773</v>
      </c>
      <c r="H80">
        <v>817861</v>
      </c>
      <c r="I80">
        <v>817943</v>
      </c>
      <c r="J80">
        <v>817985</v>
      </c>
      <c r="K80">
        <v>818214</v>
      </c>
      <c r="L80">
        <v>818254</v>
      </c>
      <c r="M80">
        <v>818291</v>
      </c>
      <c r="N80">
        <v>818439</v>
      </c>
      <c r="O80">
        <v>818580</v>
      </c>
      <c r="P80">
        <v>818627</v>
      </c>
      <c r="Q80">
        <v>818667</v>
      </c>
      <c r="R80">
        <v>818839</v>
      </c>
      <c r="S80">
        <v>818934</v>
      </c>
      <c r="T80">
        <v>819019</v>
      </c>
      <c r="U80">
        <v>819103</v>
      </c>
      <c r="V80">
        <v>819271</v>
      </c>
      <c r="W80">
        <v>819315</v>
      </c>
      <c r="X80">
        <v>819370</v>
      </c>
      <c r="Y80">
        <v>819445</v>
      </c>
      <c r="Z80">
        <v>819491</v>
      </c>
      <c r="AA80">
        <v>819533</v>
      </c>
      <c r="AB80">
        <v>819706</v>
      </c>
      <c r="AC80">
        <v>819995</v>
      </c>
      <c r="AD80">
        <v>820041</v>
      </c>
      <c r="AE80">
        <v>820088</v>
      </c>
      <c r="AF80">
        <v>820271</v>
      </c>
      <c r="AG80">
        <v>820495</v>
      </c>
      <c r="AH80">
        <v>820568</v>
      </c>
      <c r="AI80">
        <v>820630</v>
      </c>
      <c r="AJ80">
        <v>820670</v>
      </c>
      <c r="AK80">
        <v>820873</v>
      </c>
      <c r="AL80">
        <v>820921</v>
      </c>
      <c r="AM80">
        <v>820957</v>
      </c>
      <c r="AN80">
        <v>821024</v>
      </c>
      <c r="AO80">
        <v>821060</v>
      </c>
      <c r="AP80">
        <v>821288</v>
      </c>
      <c r="AQ80">
        <v>821319</v>
      </c>
      <c r="AR80">
        <v>821356</v>
      </c>
      <c r="AS80">
        <v>821451</v>
      </c>
      <c r="AT80">
        <v>821500</v>
      </c>
      <c r="AU80">
        <v>821710</v>
      </c>
      <c r="AV80">
        <v>821754</v>
      </c>
      <c r="AW80">
        <v>821805</v>
      </c>
      <c r="AX80">
        <v>821885</v>
      </c>
      <c r="AY80">
        <v>821931</v>
      </c>
      <c r="AZ80">
        <v>822143</v>
      </c>
      <c r="BA80">
        <v>822185</v>
      </c>
      <c r="BB80">
        <v>822236</v>
      </c>
      <c r="BC80">
        <v>822306</v>
      </c>
      <c r="BD80">
        <v>822352</v>
      </c>
      <c r="BE80">
        <v>822558</v>
      </c>
      <c r="BF80">
        <v>822647</v>
      </c>
      <c r="BG80">
        <v>822737</v>
      </c>
      <c r="BH80">
        <v>822777</v>
      </c>
      <c r="BI80">
        <v>823003</v>
      </c>
      <c r="BJ80">
        <v>823082</v>
      </c>
    </row>
    <row r="81" spans="1:62" x14ac:dyDescent="0.25">
      <c r="A81">
        <v>-459.6</v>
      </c>
      <c r="B81">
        <v>-459.6</v>
      </c>
      <c r="C81">
        <v>-459.6</v>
      </c>
      <c r="D81">
        <v>-459.6</v>
      </c>
      <c r="E81">
        <v>-459.6</v>
      </c>
      <c r="F81">
        <v>-459.6</v>
      </c>
      <c r="G81">
        <v>-459.6</v>
      </c>
      <c r="H81">
        <v>-459.6</v>
      </c>
      <c r="I81">
        <v>-459.6</v>
      </c>
      <c r="J81">
        <v>-459.6</v>
      </c>
      <c r="K81">
        <v>-459.6</v>
      </c>
      <c r="L81">
        <v>-459.6</v>
      </c>
      <c r="M81">
        <v>-459.6</v>
      </c>
      <c r="N81">
        <v>-459.6</v>
      </c>
      <c r="O81">
        <v>-459.6</v>
      </c>
      <c r="P81">
        <v>-459.6</v>
      </c>
      <c r="Q81">
        <v>-459.6</v>
      </c>
      <c r="R81">
        <v>-459.6</v>
      </c>
      <c r="S81">
        <v>-459.6</v>
      </c>
      <c r="T81">
        <v>-459.6</v>
      </c>
      <c r="U81">
        <v>-459.6</v>
      </c>
      <c r="V81">
        <v>-459.6</v>
      </c>
      <c r="W81">
        <v>-459.6</v>
      </c>
      <c r="X81">
        <v>-459.6</v>
      </c>
      <c r="Y81">
        <v>-459.6</v>
      </c>
      <c r="Z81">
        <v>-459.6</v>
      </c>
      <c r="AA81">
        <v>-459.6</v>
      </c>
      <c r="AB81">
        <v>-459.6</v>
      </c>
      <c r="AC81">
        <v>-459.6</v>
      </c>
      <c r="AD81">
        <v>-459.6</v>
      </c>
      <c r="AE81">
        <v>-459.6</v>
      </c>
      <c r="AF81">
        <v>-459.6</v>
      </c>
      <c r="AG81">
        <v>-459.6</v>
      </c>
      <c r="AH81">
        <v>-459.6</v>
      </c>
      <c r="AI81">
        <v>-459.6</v>
      </c>
      <c r="AJ81">
        <v>-459.6</v>
      </c>
      <c r="AK81">
        <v>-459.6</v>
      </c>
      <c r="AL81">
        <v>-459.6</v>
      </c>
      <c r="AM81">
        <v>-459.6</v>
      </c>
      <c r="AN81">
        <v>-459.6</v>
      </c>
      <c r="AO81">
        <v>-459.6</v>
      </c>
      <c r="AP81">
        <v>-459.6</v>
      </c>
      <c r="AQ81">
        <v>-459.6</v>
      </c>
      <c r="AR81">
        <v>-459.6</v>
      </c>
      <c r="AS81">
        <v>-459.6</v>
      </c>
      <c r="AT81">
        <v>-459.6</v>
      </c>
      <c r="AU81">
        <v>-459.6</v>
      </c>
      <c r="AV81">
        <v>-459.6</v>
      </c>
      <c r="AW81">
        <v>-459.6</v>
      </c>
      <c r="AX81">
        <v>-459.6</v>
      </c>
      <c r="AY81">
        <v>-459.6</v>
      </c>
      <c r="AZ81">
        <v>-459.6</v>
      </c>
      <c r="BA81">
        <v>-459.6</v>
      </c>
      <c r="BB81">
        <v>-459.6</v>
      </c>
      <c r="BC81">
        <v>-459.6</v>
      </c>
      <c r="BD81">
        <v>-459.6</v>
      </c>
      <c r="BE81">
        <v>-459.6</v>
      </c>
      <c r="BF81">
        <v>-459.6</v>
      </c>
      <c r="BG81">
        <v>-459.6</v>
      </c>
      <c r="BH81">
        <v>-459.6</v>
      </c>
      <c r="BI81">
        <v>-459.6</v>
      </c>
      <c r="BJ81">
        <v>-459.6</v>
      </c>
    </row>
    <row r="82" spans="1:62" x14ac:dyDescent="0.25">
      <c r="A82">
        <v>-463.6</v>
      </c>
      <c r="B82">
        <v>-463.6</v>
      </c>
      <c r="C82">
        <v>-463.6</v>
      </c>
      <c r="D82">
        <v>-463.6</v>
      </c>
      <c r="E82">
        <v>-463.6</v>
      </c>
      <c r="F82">
        <v>-463.6</v>
      </c>
      <c r="G82">
        <v>-463.6</v>
      </c>
      <c r="H82">
        <v>-463.6</v>
      </c>
      <c r="I82">
        <v>-463.6</v>
      </c>
      <c r="J82">
        <v>-463.6</v>
      </c>
      <c r="K82">
        <v>-463.6</v>
      </c>
      <c r="L82">
        <v>-463.6</v>
      </c>
      <c r="M82">
        <v>-463.6</v>
      </c>
      <c r="N82">
        <v>-463.6</v>
      </c>
      <c r="O82">
        <v>-463.6</v>
      </c>
      <c r="P82">
        <v>-463.6</v>
      </c>
      <c r="Q82">
        <v>-463.6</v>
      </c>
      <c r="R82">
        <v>-463.6</v>
      </c>
      <c r="S82">
        <v>-463.6</v>
      </c>
      <c r="T82">
        <v>-463.6</v>
      </c>
      <c r="U82">
        <v>-463.6</v>
      </c>
      <c r="V82">
        <v>-463.6</v>
      </c>
      <c r="W82">
        <v>-463.6</v>
      </c>
      <c r="X82">
        <v>-463.6</v>
      </c>
      <c r="Y82">
        <v>-463.6</v>
      </c>
      <c r="Z82">
        <v>-463.6</v>
      </c>
      <c r="AA82">
        <v>-463.6</v>
      </c>
      <c r="AB82">
        <v>-463.6</v>
      </c>
      <c r="AC82">
        <v>-463.6</v>
      </c>
      <c r="AD82">
        <v>-463.6</v>
      </c>
      <c r="AE82">
        <v>-463.6</v>
      </c>
      <c r="AF82">
        <v>-463.6</v>
      </c>
      <c r="AG82">
        <v>-463.6</v>
      </c>
      <c r="AH82">
        <v>-463.6</v>
      </c>
      <c r="AI82">
        <v>-463.6</v>
      </c>
      <c r="AJ82">
        <v>-463.6</v>
      </c>
      <c r="AK82">
        <v>-463.6</v>
      </c>
      <c r="AL82">
        <v>-463.6</v>
      </c>
      <c r="AM82">
        <v>-463.6</v>
      </c>
      <c r="AN82">
        <v>-463.6</v>
      </c>
      <c r="AO82">
        <v>-463.6</v>
      </c>
      <c r="AP82">
        <v>-463.6</v>
      </c>
      <c r="AQ82">
        <v>-463.6</v>
      </c>
      <c r="AR82">
        <v>-463.6</v>
      </c>
      <c r="AS82">
        <v>-463.6</v>
      </c>
      <c r="AT82">
        <v>-463.6</v>
      </c>
      <c r="AU82">
        <v>-463.6</v>
      </c>
      <c r="AV82">
        <v>-463.6</v>
      </c>
      <c r="AW82">
        <v>-463.6</v>
      </c>
      <c r="AX82">
        <v>-463.6</v>
      </c>
      <c r="AY82">
        <v>-463.6</v>
      </c>
      <c r="AZ82">
        <v>-463.6</v>
      </c>
      <c r="BA82">
        <v>-463.6</v>
      </c>
      <c r="BB82">
        <v>-463.6</v>
      </c>
      <c r="BC82">
        <v>-463.6</v>
      </c>
      <c r="BD82">
        <v>-463.6</v>
      </c>
      <c r="BE82">
        <v>-463.6</v>
      </c>
      <c r="BF82">
        <v>-463.6</v>
      </c>
      <c r="BG82">
        <v>-463.6</v>
      </c>
      <c r="BH82">
        <v>-463.6</v>
      </c>
      <c r="BI82">
        <v>-463.6</v>
      </c>
      <c r="BJ82">
        <v>-463.6</v>
      </c>
    </row>
    <row r="83" spans="1:62" x14ac:dyDescent="0.25">
      <c r="A83">
        <v>-455.6</v>
      </c>
      <c r="B83">
        <v>-455.6</v>
      </c>
      <c r="C83">
        <v>-455.6</v>
      </c>
      <c r="D83">
        <v>-455.6</v>
      </c>
      <c r="E83">
        <v>-455.6</v>
      </c>
      <c r="F83">
        <v>-455.6</v>
      </c>
      <c r="G83">
        <v>-455.6</v>
      </c>
      <c r="H83">
        <v>-455.6</v>
      </c>
      <c r="I83">
        <v>-455.6</v>
      </c>
      <c r="J83">
        <v>-455.6</v>
      </c>
      <c r="K83">
        <v>-455.6</v>
      </c>
      <c r="L83">
        <v>-455.6</v>
      </c>
      <c r="M83">
        <v>-455.6</v>
      </c>
      <c r="N83">
        <v>-455.6</v>
      </c>
      <c r="O83">
        <v>-455.6</v>
      </c>
      <c r="P83">
        <v>-455.6</v>
      </c>
      <c r="Q83">
        <v>-455.6</v>
      </c>
      <c r="R83">
        <v>-455.6</v>
      </c>
      <c r="S83">
        <v>-455.6</v>
      </c>
      <c r="T83">
        <v>-455.6</v>
      </c>
      <c r="U83">
        <v>-455.6</v>
      </c>
      <c r="V83">
        <v>-455.6</v>
      </c>
      <c r="W83">
        <v>-455.6</v>
      </c>
      <c r="X83">
        <v>-455.6</v>
      </c>
      <c r="Y83">
        <v>-455.6</v>
      </c>
      <c r="Z83">
        <v>-455.6</v>
      </c>
      <c r="AA83">
        <v>-455.6</v>
      </c>
      <c r="AB83">
        <v>-455.6</v>
      </c>
      <c r="AC83">
        <v>-455.6</v>
      </c>
      <c r="AD83">
        <v>-455.6</v>
      </c>
      <c r="AE83">
        <v>-455.6</v>
      </c>
      <c r="AF83">
        <v>-455.6</v>
      </c>
      <c r="AG83">
        <v>-455.6</v>
      </c>
      <c r="AH83">
        <v>-455.6</v>
      </c>
      <c r="AI83">
        <v>-455.6</v>
      </c>
      <c r="AJ83">
        <v>-455.6</v>
      </c>
      <c r="AK83">
        <v>-455.6</v>
      </c>
      <c r="AL83">
        <v>-455.6</v>
      </c>
      <c r="AM83">
        <v>-455.6</v>
      </c>
      <c r="AN83">
        <v>-455.6</v>
      </c>
      <c r="AO83">
        <v>-455.6</v>
      </c>
      <c r="AP83">
        <v>-455.6</v>
      </c>
      <c r="AQ83">
        <v>-455.6</v>
      </c>
      <c r="AR83">
        <v>-455.6</v>
      </c>
      <c r="AS83">
        <v>-455.6</v>
      </c>
      <c r="AT83">
        <v>-455.6</v>
      </c>
      <c r="AU83">
        <v>-455.6</v>
      </c>
      <c r="AV83">
        <v>-455.6</v>
      </c>
      <c r="AW83">
        <v>-455.6</v>
      </c>
      <c r="AX83">
        <v>-455.6</v>
      </c>
      <c r="AY83">
        <v>-455.6</v>
      </c>
      <c r="AZ83">
        <v>-455.6</v>
      </c>
      <c r="BA83">
        <v>-455.6</v>
      </c>
      <c r="BB83">
        <v>-455.6</v>
      </c>
      <c r="BC83">
        <v>-455.6</v>
      </c>
      <c r="BD83">
        <v>-455.6</v>
      </c>
      <c r="BE83">
        <v>-455.6</v>
      </c>
      <c r="BF83">
        <v>-455.6</v>
      </c>
      <c r="BG83">
        <v>-455.6</v>
      </c>
      <c r="BH83">
        <v>-455.6</v>
      </c>
      <c r="BI83">
        <v>-455.6</v>
      </c>
      <c r="BJ83">
        <v>-455.6</v>
      </c>
    </row>
    <row r="84" spans="1:62" x14ac:dyDescent="0.25">
      <c r="A84">
        <v>-460.07</v>
      </c>
      <c r="B84">
        <v>-460.24</v>
      </c>
      <c r="C84">
        <v>-460.23</v>
      </c>
      <c r="D84">
        <v>-459.9</v>
      </c>
      <c r="E84">
        <v>-460.6</v>
      </c>
      <c r="F84">
        <v>-460.5</v>
      </c>
      <c r="G84">
        <v>-460.8</v>
      </c>
      <c r="H84">
        <v>-460.3</v>
      </c>
      <c r="I84">
        <v>-460.6</v>
      </c>
      <c r="J84">
        <v>-460.34</v>
      </c>
      <c r="K84">
        <v>-460.43</v>
      </c>
      <c r="L84">
        <v>-460.35</v>
      </c>
      <c r="M84">
        <v>-459.59</v>
      </c>
      <c r="N84">
        <v>-460.31</v>
      </c>
      <c r="O84">
        <v>-460.31</v>
      </c>
      <c r="P84">
        <v>-460.68</v>
      </c>
      <c r="Q84">
        <v>-460.39</v>
      </c>
      <c r="R84">
        <v>-460.21</v>
      </c>
      <c r="S84">
        <v>-461.1</v>
      </c>
      <c r="T84">
        <v>-460.2</v>
      </c>
      <c r="U84">
        <v>-461.3</v>
      </c>
      <c r="V84">
        <v>-460.32</v>
      </c>
      <c r="W84">
        <v>-461.1</v>
      </c>
      <c r="X84">
        <v>-461.3</v>
      </c>
      <c r="Y84">
        <v>-460.9</v>
      </c>
      <c r="Z84">
        <v>-460.7</v>
      </c>
      <c r="AA84">
        <v>-460.99</v>
      </c>
      <c r="AB84">
        <v>-460.86</v>
      </c>
      <c r="AC84">
        <v>-461.54</v>
      </c>
      <c r="AD84">
        <v>-461.47</v>
      </c>
      <c r="AE84">
        <v>-460.91</v>
      </c>
      <c r="AF84">
        <v>-460.41</v>
      </c>
      <c r="AG84">
        <v>-461.08</v>
      </c>
      <c r="AH84">
        <v>-460.4</v>
      </c>
      <c r="AI84">
        <v>-460.6</v>
      </c>
      <c r="AJ84">
        <v>-461.37</v>
      </c>
      <c r="AK84">
        <v>-460.78</v>
      </c>
      <c r="AL84">
        <v>-460.45</v>
      </c>
      <c r="AM84">
        <v>-460.18</v>
      </c>
      <c r="AN84">
        <v>-460.57</v>
      </c>
      <c r="AO84">
        <v>-460.49</v>
      </c>
      <c r="AP84">
        <v>-461.04</v>
      </c>
      <c r="AQ84">
        <v>-460.83</v>
      </c>
      <c r="AR84">
        <v>-461.23</v>
      </c>
      <c r="AS84">
        <v>-460.79</v>
      </c>
      <c r="AT84">
        <v>-460.74</v>
      </c>
      <c r="AU84">
        <v>-460.48</v>
      </c>
      <c r="AV84">
        <v>-460.42</v>
      </c>
      <c r="AW84">
        <v>-460.98</v>
      </c>
      <c r="AX84">
        <v>-460.87</v>
      </c>
      <c r="AY84">
        <v>-460.29</v>
      </c>
      <c r="AZ84">
        <v>-460.65</v>
      </c>
      <c r="BA84">
        <v>-461.27</v>
      </c>
      <c r="BB84">
        <v>-461.05</v>
      </c>
      <c r="BC84">
        <v>-460.5</v>
      </c>
      <c r="BD84">
        <v>-461.35</v>
      </c>
      <c r="BE84">
        <v>-460.79</v>
      </c>
      <c r="BF84">
        <v>-461.13</v>
      </c>
      <c r="BG84">
        <v>-461.22</v>
      </c>
      <c r="BH84">
        <v>-462.02</v>
      </c>
      <c r="BI84">
        <v>-460.89</v>
      </c>
      <c r="BJ84">
        <v>-460.66</v>
      </c>
    </row>
    <row r="85" spans="1:62" x14ac:dyDescent="0.25">
      <c r="A85" t="s">
        <v>29</v>
      </c>
      <c r="B85" t="s">
        <v>30</v>
      </c>
      <c r="C85" t="s">
        <v>53</v>
      </c>
      <c r="D85" t="s">
        <v>54</v>
      </c>
      <c r="E85" t="s">
        <v>57</v>
      </c>
      <c r="F85" t="s">
        <v>58</v>
      </c>
      <c r="G85" t="s">
        <v>22</v>
      </c>
      <c r="H85">
        <v>62</v>
      </c>
    </row>
    <row r="86" spans="1:62" x14ac:dyDescent="0.25">
      <c r="A86" s="3">
        <v>46169</v>
      </c>
      <c r="B86" s="3">
        <v>46169</v>
      </c>
      <c r="C86" s="3">
        <v>46169</v>
      </c>
      <c r="D86" s="3">
        <v>46169</v>
      </c>
      <c r="E86" s="3">
        <v>46170</v>
      </c>
      <c r="F86" s="3">
        <v>46170</v>
      </c>
      <c r="G86" s="3">
        <v>46171</v>
      </c>
      <c r="H86" s="3">
        <v>46171</v>
      </c>
      <c r="I86" s="3">
        <v>46171</v>
      </c>
      <c r="J86" s="3">
        <v>46171</v>
      </c>
      <c r="K86" s="3">
        <v>46172</v>
      </c>
      <c r="L86" s="3">
        <v>46172</v>
      </c>
      <c r="M86" s="3">
        <v>46172</v>
      </c>
      <c r="N86" s="3">
        <v>46174</v>
      </c>
      <c r="O86" s="3">
        <v>46174</v>
      </c>
      <c r="P86" s="3">
        <v>46174</v>
      </c>
      <c r="Q86" s="3">
        <v>46174</v>
      </c>
      <c r="R86" s="3">
        <v>46175</v>
      </c>
      <c r="S86" s="3">
        <v>46175</v>
      </c>
      <c r="T86" s="3">
        <v>46175</v>
      </c>
      <c r="U86" s="3">
        <v>46176</v>
      </c>
      <c r="V86" s="3">
        <v>46176</v>
      </c>
      <c r="W86" s="3">
        <v>46176</v>
      </c>
      <c r="X86" s="3">
        <v>46176</v>
      </c>
      <c r="Y86" s="3">
        <v>46176</v>
      </c>
      <c r="Z86" s="3">
        <v>46176</v>
      </c>
      <c r="AA86" s="3">
        <v>46176</v>
      </c>
      <c r="AB86" s="3">
        <v>46177</v>
      </c>
      <c r="AC86" s="3">
        <v>46178</v>
      </c>
      <c r="AD86" s="3">
        <v>46178</v>
      </c>
      <c r="AE86" s="3">
        <v>46178</v>
      </c>
      <c r="AF86" s="3">
        <v>46179</v>
      </c>
      <c r="AG86" s="3">
        <v>46180</v>
      </c>
      <c r="AH86" s="3">
        <v>46180</v>
      </c>
      <c r="AI86" s="3">
        <v>46180</v>
      </c>
      <c r="AJ86" s="3">
        <v>46180</v>
      </c>
      <c r="AK86" s="3">
        <v>46181</v>
      </c>
      <c r="AL86" s="3">
        <v>46181</v>
      </c>
      <c r="AM86" s="3">
        <v>46181</v>
      </c>
      <c r="AN86" s="3">
        <v>46181</v>
      </c>
      <c r="AO86" s="3">
        <v>46181</v>
      </c>
      <c r="AP86" s="3">
        <v>46182</v>
      </c>
      <c r="AQ86" s="3">
        <v>46182</v>
      </c>
      <c r="AR86" s="3">
        <v>46182</v>
      </c>
      <c r="AS86" s="3">
        <v>46182</v>
      </c>
      <c r="AT86" s="3">
        <v>46182</v>
      </c>
      <c r="AU86" s="3">
        <v>46183</v>
      </c>
      <c r="AV86" s="3">
        <v>46183</v>
      </c>
      <c r="AW86" s="3">
        <v>46183</v>
      </c>
      <c r="AX86" s="3">
        <v>46183</v>
      </c>
      <c r="AY86" s="3">
        <v>46183</v>
      </c>
      <c r="AZ86" s="3">
        <v>46184</v>
      </c>
      <c r="BA86" s="3">
        <v>46184</v>
      </c>
      <c r="BB86" s="3">
        <v>46184</v>
      </c>
      <c r="BC86" s="3">
        <v>46184</v>
      </c>
      <c r="BD86" s="3">
        <v>46184</v>
      </c>
      <c r="BE86" s="3">
        <v>46185</v>
      </c>
      <c r="BF86" s="3">
        <v>46185</v>
      </c>
      <c r="BG86" s="3">
        <v>46185</v>
      </c>
      <c r="BH86" s="3">
        <v>46185</v>
      </c>
      <c r="BI86" s="3">
        <v>46186</v>
      </c>
      <c r="BJ86" s="3">
        <v>46186</v>
      </c>
    </row>
    <row r="87" spans="1:62" x14ac:dyDescent="0.25">
      <c r="A87">
        <v>816948</v>
      </c>
      <c r="B87">
        <v>816987</v>
      </c>
      <c r="C87">
        <v>816998</v>
      </c>
      <c r="D87">
        <v>817092</v>
      </c>
      <c r="E87">
        <v>817353</v>
      </c>
      <c r="F87">
        <v>817441</v>
      </c>
      <c r="G87">
        <v>817773</v>
      </c>
      <c r="H87">
        <v>817861</v>
      </c>
      <c r="I87">
        <v>817943</v>
      </c>
      <c r="J87">
        <v>817985</v>
      </c>
      <c r="K87">
        <v>818214</v>
      </c>
      <c r="L87">
        <v>818254</v>
      </c>
      <c r="M87">
        <v>818291</v>
      </c>
      <c r="N87">
        <v>818439</v>
      </c>
      <c r="O87">
        <v>818580</v>
      </c>
      <c r="P87">
        <v>818627</v>
      </c>
      <c r="Q87">
        <v>818667</v>
      </c>
      <c r="R87">
        <v>818839</v>
      </c>
      <c r="S87">
        <v>818934</v>
      </c>
      <c r="T87">
        <v>819019</v>
      </c>
      <c r="U87">
        <v>819103</v>
      </c>
      <c r="V87">
        <v>819271</v>
      </c>
      <c r="W87">
        <v>819315</v>
      </c>
      <c r="X87">
        <v>819370</v>
      </c>
      <c r="Y87">
        <v>819445</v>
      </c>
      <c r="Z87">
        <v>819491</v>
      </c>
      <c r="AA87">
        <v>819533</v>
      </c>
      <c r="AB87">
        <v>819706</v>
      </c>
      <c r="AC87">
        <v>819995</v>
      </c>
      <c r="AD87">
        <v>820041</v>
      </c>
      <c r="AE87">
        <v>820088</v>
      </c>
      <c r="AF87">
        <v>820271</v>
      </c>
      <c r="AG87">
        <v>820495</v>
      </c>
      <c r="AH87">
        <v>820568</v>
      </c>
      <c r="AI87">
        <v>820630</v>
      </c>
      <c r="AJ87">
        <v>820670</v>
      </c>
      <c r="AK87">
        <v>820873</v>
      </c>
      <c r="AL87">
        <v>820921</v>
      </c>
      <c r="AM87">
        <v>820957</v>
      </c>
      <c r="AN87">
        <v>821024</v>
      </c>
      <c r="AO87">
        <v>821060</v>
      </c>
      <c r="AP87">
        <v>821288</v>
      </c>
      <c r="AQ87">
        <v>821319</v>
      </c>
      <c r="AR87">
        <v>821356</v>
      </c>
      <c r="AS87">
        <v>821451</v>
      </c>
      <c r="AT87">
        <v>821500</v>
      </c>
      <c r="AU87">
        <v>821710</v>
      </c>
      <c r="AV87">
        <v>821754</v>
      </c>
      <c r="AW87">
        <v>821805</v>
      </c>
      <c r="AX87">
        <v>821885</v>
      </c>
      <c r="AY87">
        <v>821931</v>
      </c>
      <c r="AZ87">
        <v>822143</v>
      </c>
      <c r="BA87">
        <v>822185</v>
      </c>
      <c r="BB87">
        <v>822236</v>
      </c>
      <c r="BC87">
        <v>822306</v>
      </c>
      <c r="BD87">
        <v>822352</v>
      </c>
      <c r="BE87">
        <v>822558</v>
      </c>
      <c r="BF87">
        <v>822647</v>
      </c>
      <c r="BG87">
        <v>822737</v>
      </c>
      <c r="BH87">
        <v>822777</v>
      </c>
      <c r="BI87">
        <v>823003</v>
      </c>
      <c r="BJ87">
        <v>823082</v>
      </c>
    </row>
    <row r="88" spans="1:62" x14ac:dyDescent="0.25">
      <c r="A88">
        <v>1071.4000000000001</v>
      </c>
      <c r="B88">
        <v>1071.4000000000001</v>
      </c>
      <c r="C88">
        <v>1071.4000000000001</v>
      </c>
      <c r="D88">
        <v>1071.4000000000001</v>
      </c>
      <c r="E88">
        <v>1071.4000000000001</v>
      </c>
      <c r="F88">
        <v>1071.4000000000001</v>
      </c>
      <c r="G88">
        <v>1071.4000000000001</v>
      </c>
      <c r="H88">
        <v>1071.4000000000001</v>
      </c>
      <c r="I88">
        <v>1071.4000000000001</v>
      </c>
      <c r="J88">
        <v>1071.4000000000001</v>
      </c>
      <c r="K88">
        <v>1071.4000000000001</v>
      </c>
      <c r="L88">
        <v>1071.4000000000001</v>
      </c>
      <c r="M88">
        <v>1071.4000000000001</v>
      </c>
      <c r="N88">
        <v>1071.4000000000001</v>
      </c>
      <c r="O88">
        <v>1071.4000000000001</v>
      </c>
      <c r="P88">
        <v>1071.4000000000001</v>
      </c>
      <c r="Q88">
        <v>1071.4000000000001</v>
      </c>
      <c r="R88">
        <v>1071.4000000000001</v>
      </c>
      <c r="S88">
        <v>1071.4000000000001</v>
      </c>
      <c r="T88">
        <v>1071.4000000000001</v>
      </c>
      <c r="U88">
        <v>1071.4000000000001</v>
      </c>
      <c r="V88">
        <v>1071.4000000000001</v>
      </c>
      <c r="W88">
        <v>1071.4000000000001</v>
      </c>
      <c r="X88">
        <v>1071.4000000000001</v>
      </c>
      <c r="Y88">
        <v>1071.4000000000001</v>
      </c>
      <c r="Z88">
        <v>1071.4000000000001</v>
      </c>
      <c r="AA88">
        <v>1071.4000000000001</v>
      </c>
      <c r="AB88">
        <v>1071.4000000000001</v>
      </c>
      <c r="AC88">
        <v>1071.4000000000001</v>
      </c>
      <c r="AD88">
        <v>1071.4000000000001</v>
      </c>
      <c r="AE88">
        <v>1071.4000000000001</v>
      </c>
      <c r="AF88">
        <v>1071.4000000000001</v>
      </c>
      <c r="AG88">
        <v>1071.4000000000001</v>
      </c>
      <c r="AH88">
        <v>1071.4000000000001</v>
      </c>
      <c r="AI88">
        <v>1071.4000000000001</v>
      </c>
      <c r="AJ88">
        <v>1071.4000000000001</v>
      </c>
      <c r="AK88">
        <v>1071.4000000000001</v>
      </c>
      <c r="AL88">
        <v>1071.4000000000001</v>
      </c>
      <c r="AM88">
        <v>1071.4000000000001</v>
      </c>
      <c r="AN88">
        <v>1071.4000000000001</v>
      </c>
      <c r="AO88">
        <v>1071.4000000000001</v>
      </c>
      <c r="AP88">
        <v>1071.4000000000001</v>
      </c>
      <c r="AQ88">
        <v>1071.4000000000001</v>
      </c>
      <c r="AR88">
        <v>1071.4000000000001</v>
      </c>
      <c r="AS88">
        <v>1071.4000000000001</v>
      </c>
      <c r="AT88">
        <v>1071.4000000000001</v>
      </c>
      <c r="AU88">
        <v>1071.4000000000001</v>
      </c>
      <c r="AV88">
        <v>1071.4000000000001</v>
      </c>
      <c r="AW88">
        <v>1071.4000000000001</v>
      </c>
      <c r="AX88">
        <v>1071.4000000000001</v>
      </c>
      <c r="AY88">
        <v>1071.4000000000001</v>
      </c>
      <c r="AZ88">
        <v>1071.4000000000001</v>
      </c>
      <c r="BA88">
        <v>1071.4000000000001</v>
      </c>
      <c r="BB88">
        <v>1071.4000000000001</v>
      </c>
      <c r="BC88">
        <v>1071.4000000000001</v>
      </c>
      <c r="BD88">
        <v>1071.4000000000001</v>
      </c>
      <c r="BE88">
        <v>1071.4000000000001</v>
      </c>
      <c r="BF88">
        <v>1071.4000000000001</v>
      </c>
      <c r="BG88">
        <v>1071.4000000000001</v>
      </c>
      <c r="BH88">
        <v>1071.4000000000001</v>
      </c>
      <c r="BI88">
        <v>1071.4000000000001</v>
      </c>
      <c r="BJ88">
        <v>1071.4000000000001</v>
      </c>
    </row>
    <row r="89" spans="1:62" x14ac:dyDescent="0.25">
      <c r="A89">
        <v>1067.4000000000001</v>
      </c>
      <c r="B89">
        <v>1067.4000000000001</v>
      </c>
      <c r="C89">
        <v>1067.4000000000001</v>
      </c>
      <c r="D89">
        <v>1067.4000000000001</v>
      </c>
      <c r="E89">
        <v>1067.4000000000001</v>
      </c>
      <c r="F89">
        <v>1067.4000000000001</v>
      </c>
      <c r="G89">
        <v>1067.4000000000001</v>
      </c>
      <c r="H89">
        <v>1067.4000000000001</v>
      </c>
      <c r="I89">
        <v>1067.4000000000001</v>
      </c>
      <c r="J89">
        <v>1067.4000000000001</v>
      </c>
      <c r="K89">
        <v>1067.4000000000001</v>
      </c>
      <c r="L89">
        <v>1067.4000000000001</v>
      </c>
      <c r="M89">
        <v>1067.4000000000001</v>
      </c>
      <c r="N89">
        <v>1067.4000000000001</v>
      </c>
      <c r="O89">
        <v>1067.4000000000001</v>
      </c>
      <c r="P89">
        <v>1067.4000000000001</v>
      </c>
      <c r="Q89">
        <v>1067.4000000000001</v>
      </c>
      <c r="R89">
        <v>1067.4000000000001</v>
      </c>
      <c r="S89">
        <v>1067.4000000000001</v>
      </c>
      <c r="T89">
        <v>1067.4000000000001</v>
      </c>
      <c r="U89">
        <v>1067.4000000000001</v>
      </c>
      <c r="V89">
        <v>1067.4000000000001</v>
      </c>
      <c r="W89">
        <v>1067.4000000000001</v>
      </c>
      <c r="X89">
        <v>1067.4000000000001</v>
      </c>
      <c r="Y89">
        <v>1067.4000000000001</v>
      </c>
      <c r="Z89">
        <v>1067.4000000000001</v>
      </c>
      <c r="AA89">
        <v>1067.4000000000001</v>
      </c>
      <c r="AB89">
        <v>1067.4000000000001</v>
      </c>
      <c r="AC89">
        <v>1067.4000000000001</v>
      </c>
      <c r="AD89">
        <v>1067.4000000000001</v>
      </c>
      <c r="AE89">
        <v>1067.4000000000001</v>
      </c>
      <c r="AF89">
        <v>1067.4000000000001</v>
      </c>
      <c r="AG89">
        <v>1067.4000000000001</v>
      </c>
      <c r="AH89">
        <v>1067.4000000000001</v>
      </c>
      <c r="AI89">
        <v>1067.4000000000001</v>
      </c>
      <c r="AJ89">
        <v>1067.4000000000001</v>
      </c>
      <c r="AK89">
        <v>1067.4000000000001</v>
      </c>
      <c r="AL89">
        <v>1067.4000000000001</v>
      </c>
      <c r="AM89">
        <v>1067.4000000000001</v>
      </c>
      <c r="AN89">
        <v>1067.4000000000001</v>
      </c>
      <c r="AO89">
        <v>1067.4000000000001</v>
      </c>
      <c r="AP89">
        <v>1067.4000000000001</v>
      </c>
      <c r="AQ89">
        <v>1067.4000000000001</v>
      </c>
      <c r="AR89">
        <v>1067.4000000000001</v>
      </c>
      <c r="AS89">
        <v>1067.4000000000001</v>
      </c>
      <c r="AT89">
        <v>1067.4000000000001</v>
      </c>
      <c r="AU89">
        <v>1067.4000000000001</v>
      </c>
      <c r="AV89">
        <v>1067.4000000000001</v>
      </c>
      <c r="AW89">
        <v>1067.4000000000001</v>
      </c>
      <c r="AX89">
        <v>1067.4000000000001</v>
      </c>
      <c r="AY89">
        <v>1067.4000000000001</v>
      </c>
      <c r="AZ89">
        <v>1067.4000000000001</v>
      </c>
      <c r="BA89">
        <v>1067.4000000000001</v>
      </c>
      <c r="BB89">
        <v>1067.4000000000001</v>
      </c>
      <c r="BC89">
        <v>1067.4000000000001</v>
      </c>
      <c r="BD89">
        <v>1067.4000000000001</v>
      </c>
      <c r="BE89">
        <v>1067.4000000000001</v>
      </c>
      <c r="BF89">
        <v>1067.4000000000001</v>
      </c>
      <c r="BG89">
        <v>1067.4000000000001</v>
      </c>
      <c r="BH89">
        <v>1067.4000000000001</v>
      </c>
      <c r="BI89">
        <v>1067.4000000000001</v>
      </c>
      <c r="BJ89">
        <v>1067.4000000000001</v>
      </c>
    </row>
    <row r="90" spans="1:62" x14ac:dyDescent="0.25">
      <c r="A90">
        <v>1075.4000000000001</v>
      </c>
      <c r="B90">
        <v>1075.4000000000001</v>
      </c>
      <c r="C90">
        <v>1075.4000000000001</v>
      </c>
      <c r="D90">
        <v>1075.4000000000001</v>
      </c>
      <c r="E90">
        <v>1075.4000000000001</v>
      </c>
      <c r="F90">
        <v>1075.4000000000001</v>
      </c>
      <c r="G90">
        <v>1075.4000000000001</v>
      </c>
      <c r="H90">
        <v>1075.4000000000001</v>
      </c>
      <c r="I90">
        <v>1075.4000000000001</v>
      </c>
      <c r="J90">
        <v>1075.4000000000001</v>
      </c>
      <c r="K90">
        <v>1075.4000000000001</v>
      </c>
      <c r="L90">
        <v>1075.4000000000001</v>
      </c>
      <c r="M90">
        <v>1075.4000000000001</v>
      </c>
      <c r="N90">
        <v>1075.4000000000001</v>
      </c>
      <c r="O90">
        <v>1075.4000000000001</v>
      </c>
      <c r="P90">
        <v>1075.4000000000001</v>
      </c>
      <c r="Q90">
        <v>1075.4000000000001</v>
      </c>
      <c r="R90">
        <v>1075.4000000000001</v>
      </c>
      <c r="S90">
        <v>1075.4000000000001</v>
      </c>
      <c r="T90">
        <v>1075.4000000000001</v>
      </c>
      <c r="U90">
        <v>1075.4000000000001</v>
      </c>
      <c r="V90">
        <v>1075.4000000000001</v>
      </c>
      <c r="W90">
        <v>1075.4000000000001</v>
      </c>
      <c r="X90">
        <v>1075.4000000000001</v>
      </c>
      <c r="Y90">
        <v>1075.4000000000001</v>
      </c>
      <c r="Z90">
        <v>1075.4000000000001</v>
      </c>
      <c r="AA90">
        <v>1075.4000000000001</v>
      </c>
      <c r="AB90">
        <v>1075.4000000000001</v>
      </c>
      <c r="AC90">
        <v>1075.4000000000001</v>
      </c>
      <c r="AD90">
        <v>1075.4000000000001</v>
      </c>
      <c r="AE90">
        <v>1075.4000000000001</v>
      </c>
      <c r="AF90">
        <v>1075.4000000000001</v>
      </c>
      <c r="AG90">
        <v>1075.4000000000001</v>
      </c>
      <c r="AH90">
        <v>1075.4000000000001</v>
      </c>
      <c r="AI90">
        <v>1075.4000000000001</v>
      </c>
      <c r="AJ90">
        <v>1075.4000000000001</v>
      </c>
      <c r="AK90">
        <v>1075.4000000000001</v>
      </c>
      <c r="AL90">
        <v>1075.4000000000001</v>
      </c>
      <c r="AM90">
        <v>1075.4000000000001</v>
      </c>
      <c r="AN90">
        <v>1075.4000000000001</v>
      </c>
      <c r="AO90">
        <v>1075.4000000000001</v>
      </c>
      <c r="AP90">
        <v>1075.4000000000001</v>
      </c>
      <c r="AQ90">
        <v>1075.4000000000001</v>
      </c>
      <c r="AR90">
        <v>1075.4000000000001</v>
      </c>
      <c r="AS90">
        <v>1075.4000000000001</v>
      </c>
      <c r="AT90">
        <v>1075.4000000000001</v>
      </c>
      <c r="AU90">
        <v>1075.4000000000001</v>
      </c>
      <c r="AV90">
        <v>1075.4000000000001</v>
      </c>
      <c r="AW90">
        <v>1075.4000000000001</v>
      </c>
      <c r="AX90">
        <v>1075.4000000000001</v>
      </c>
      <c r="AY90">
        <v>1075.4000000000001</v>
      </c>
      <c r="AZ90">
        <v>1075.4000000000001</v>
      </c>
      <c r="BA90">
        <v>1075.4000000000001</v>
      </c>
      <c r="BB90">
        <v>1075.4000000000001</v>
      </c>
      <c r="BC90">
        <v>1075.4000000000001</v>
      </c>
      <c r="BD90">
        <v>1075.4000000000001</v>
      </c>
      <c r="BE90">
        <v>1075.4000000000001</v>
      </c>
      <c r="BF90">
        <v>1075.4000000000001</v>
      </c>
      <c r="BG90">
        <v>1075.4000000000001</v>
      </c>
      <c r="BH90">
        <v>1075.4000000000001</v>
      </c>
      <c r="BI90">
        <v>1075.4000000000001</v>
      </c>
      <c r="BJ90">
        <v>1075.4000000000001</v>
      </c>
    </row>
    <row r="91" spans="1:62" x14ac:dyDescent="0.25">
      <c r="A91">
        <v>1069.3499999999999</v>
      </c>
      <c r="B91">
        <v>1068.97</v>
      </c>
      <c r="C91">
        <v>1069.06</v>
      </c>
      <c r="D91">
        <v>1069.3</v>
      </c>
      <c r="E91">
        <v>1068.8</v>
      </c>
      <c r="F91">
        <v>1069</v>
      </c>
      <c r="G91">
        <v>1068.9000000000001</v>
      </c>
      <c r="H91">
        <v>1069.4000000000001</v>
      </c>
      <c r="I91">
        <v>1068.9000000000001</v>
      </c>
      <c r="J91">
        <v>1069.1199999999999</v>
      </c>
      <c r="K91">
        <v>1068.95</v>
      </c>
      <c r="L91">
        <v>1069.06</v>
      </c>
      <c r="M91">
        <v>1069.3499999999999</v>
      </c>
      <c r="N91">
        <v>1069.3800000000001</v>
      </c>
      <c r="O91">
        <v>1069.21</v>
      </c>
      <c r="P91">
        <v>1069.2</v>
      </c>
      <c r="Q91">
        <v>1069.29</v>
      </c>
      <c r="R91">
        <v>1069.52</v>
      </c>
      <c r="S91">
        <v>1068.9000000000001</v>
      </c>
      <c r="T91">
        <v>1069.2</v>
      </c>
      <c r="U91">
        <v>1069.2</v>
      </c>
      <c r="V91">
        <v>1069.19</v>
      </c>
      <c r="W91">
        <v>1069</v>
      </c>
      <c r="X91">
        <v>1069.4000000000001</v>
      </c>
      <c r="Y91">
        <v>1069.0999999999999</v>
      </c>
      <c r="Z91">
        <v>1069</v>
      </c>
      <c r="AA91">
        <v>1069.2</v>
      </c>
      <c r="AB91">
        <v>1068.99</v>
      </c>
      <c r="AC91">
        <v>1069.02</v>
      </c>
      <c r="AD91">
        <v>1069.02</v>
      </c>
      <c r="AE91">
        <v>1068.99</v>
      </c>
      <c r="AF91">
        <v>1069.6500000000001</v>
      </c>
      <c r="AG91">
        <v>1068.6500000000001</v>
      </c>
      <c r="AH91">
        <v>1069.3499999999999</v>
      </c>
      <c r="AI91">
        <v>1069.4000000000001</v>
      </c>
      <c r="AJ91">
        <v>1069</v>
      </c>
      <c r="AK91">
        <v>1069.28</v>
      </c>
      <c r="AL91">
        <v>1068.71</v>
      </c>
      <c r="AM91">
        <v>1068.79</v>
      </c>
      <c r="AN91">
        <v>1069.1400000000001</v>
      </c>
      <c r="AO91">
        <v>1069.05</v>
      </c>
      <c r="AP91">
        <v>1069.01</v>
      </c>
      <c r="AQ91">
        <v>1068.95</v>
      </c>
      <c r="AR91">
        <v>1069.0999999999999</v>
      </c>
      <c r="AS91">
        <v>1068.93</v>
      </c>
      <c r="AT91">
        <v>1069.31</v>
      </c>
      <c r="AU91">
        <v>1069.01</v>
      </c>
      <c r="AV91">
        <v>1069.04</v>
      </c>
      <c r="AW91">
        <v>1069.06</v>
      </c>
      <c r="AX91">
        <v>1068.98</v>
      </c>
      <c r="AY91">
        <v>1069.26</v>
      </c>
      <c r="AZ91">
        <v>1069.21</v>
      </c>
      <c r="BA91">
        <v>1068.44</v>
      </c>
      <c r="BB91">
        <v>1068.9100000000001</v>
      </c>
      <c r="BC91">
        <v>1069.0999999999999</v>
      </c>
      <c r="BD91">
        <v>1068.9000000000001</v>
      </c>
      <c r="BE91">
        <v>1069.19</v>
      </c>
      <c r="BF91">
        <v>1068.96</v>
      </c>
      <c r="BG91">
        <v>1069</v>
      </c>
      <c r="BH91">
        <v>1068.72</v>
      </c>
      <c r="BI91">
        <v>1068.6099999999999</v>
      </c>
      <c r="BJ91">
        <v>1069.0899999999999</v>
      </c>
    </row>
    <row r="92" spans="1:62" x14ac:dyDescent="0.25">
      <c r="A92" t="s">
        <v>29</v>
      </c>
      <c r="B92" t="s">
        <v>30</v>
      </c>
      <c r="C92" t="s">
        <v>53</v>
      </c>
      <c r="D92" t="s">
        <v>54</v>
      </c>
      <c r="E92" t="s">
        <v>59</v>
      </c>
      <c r="F92" t="s">
        <v>60</v>
      </c>
      <c r="G92" t="s">
        <v>23</v>
      </c>
      <c r="H92">
        <v>62</v>
      </c>
    </row>
    <row r="93" spans="1:62" x14ac:dyDescent="0.25">
      <c r="A93" s="3">
        <v>46169</v>
      </c>
      <c r="B93" s="3">
        <v>46169</v>
      </c>
      <c r="C93" s="3">
        <v>46169</v>
      </c>
      <c r="D93" s="3">
        <v>46169</v>
      </c>
      <c r="E93" s="3">
        <v>46170</v>
      </c>
      <c r="F93" s="3">
        <v>46170</v>
      </c>
      <c r="G93" s="3">
        <v>46171</v>
      </c>
      <c r="H93" s="3">
        <v>46171</v>
      </c>
      <c r="I93" s="3">
        <v>46171</v>
      </c>
      <c r="J93" s="3">
        <v>46171</v>
      </c>
      <c r="K93" s="3">
        <v>46172</v>
      </c>
      <c r="L93" s="3">
        <v>46172</v>
      </c>
      <c r="M93" s="3">
        <v>46172</v>
      </c>
      <c r="N93" s="3">
        <v>46174</v>
      </c>
      <c r="O93" s="3">
        <v>46174</v>
      </c>
      <c r="P93" s="3">
        <v>46174</v>
      </c>
      <c r="Q93" s="3">
        <v>46174</v>
      </c>
      <c r="R93" s="3">
        <v>46175</v>
      </c>
      <c r="S93" s="3">
        <v>46175</v>
      </c>
      <c r="T93" s="3">
        <v>46175</v>
      </c>
      <c r="U93" s="3">
        <v>46176</v>
      </c>
      <c r="V93" s="3">
        <v>46176</v>
      </c>
      <c r="W93" s="3">
        <v>46176</v>
      </c>
      <c r="X93" s="3">
        <v>46176</v>
      </c>
      <c r="Y93" s="3">
        <v>46176</v>
      </c>
      <c r="Z93" s="3">
        <v>46176</v>
      </c>
      <c r="AA93" s="3">
        <v>46176</v>
      </c>
      <c r="AB93" s="3">
        <v>46177</v>
      </c>
      <c r="AC93" s="3">
        <v>46178</v>
      </c>
      <c r="AD93" s="3">
        <v>46178</v>
      </c>
      <c r="AE93" s="3">
        <v>46178</v>
      </c>
      <c r="AF93" s="3">
        <v>46179</v>
      </c>
      <c r="AG93" s="3">
        <v>46180</v>
      </c>
      <c r="AH93" s="3">
        <v>46180</v>
      </c>
      <c r="AI93" s="3">
        <v>46180</v>
      </c>
      <c r="AJ93" s="3">
        <v>46180</v>
      </c>
      <c r="AK93" s="3">
        <v>46181</v>
      </c>
      <c r="AL93" s="3">
        <v>46181</v>
      </c>
      <c r="AM93" s="3">
        <v>46181</v>
      </c>
      <c r="AN93" s="3">
        <v>46181</v>
      </c>
      <c r="AO93" s="3">
        <v>46181</v>
      </c>
      <c r="AP93" s="3">
        <v>46182</v>
      </c>
      <c r="AQ93" s="3">
        <v>46182</v>
      </c>
      <c r="AR93" s="3">
        <v>46182</v>
      </c>
      <c r="AS93" s="3">
        <v>46182</v>
      </c>
      <c r="AT93" s="3">
        <v>46182</v>
      </c>
      <c r="AU93" s="3">
        <v>46183</v>
      </c>
      <c r="AV93" s="3">
        <v>46183</v>
      </c>
      <c r="AW93" s="3">
        <v>46183</v>
      </c>
      <c r="AX93" s="3">
        <v>46183</v>
      </c>
      <c r="AY93" s="3">
        <v>46183</v>
      </c>
      <c r="AZ93" s="3">
        <v>46184</v>
      </c>
      <c r="BA93" s="3">
        <v>46184</v>
      </c>
      <c r="BB93" s="3">
        <v>46184</v>
      </c>
      <c r="BC93" s="3">
        <v>46184</v>
      </c>
      <c r="BD93" s="3">
        <v>46184</v>
      </c>
      <c r="BE93" s="3">
        <v>46185</v>
      </c>
      <c r="BF93" s="3">
        <v>46185</v>
      </c>
      <c r="BG93" s="3">
        <v>46185</v>
      </c>
      <c r="BH93" s="3">
        <v>46185</v>
      </c>
      <c r="BI93" s="3">
        <v>46186</v>
      </c>
      <c r="BJ93" s="3">
        <v>46186</v>
      </c>
    </row>
    <row r="94" spans="1:62" x14ac:dyDescent="0.25">
      <c r="A94">
        <v>816948</v>
      </c>
      <c r="B94">
        <v>816987</v>
      </c>
      <c r="C94">
        <v>816998</v>
      </c>
      <c r="D94">
        <v>817092</v>
      </c>
      <c r="E94">
        <v>817353</v>
      </c>
      <c r="F94">
        <v>817441</v>
      </c>
      <c r="G94">
        <v>817773</v>
      </c>
      <c r="H94">
        <v>817861</v>
      </c>
      <c r="I94">
        <v>817943</v>
      </c>
      <c r="J94">
        <v>817985</v>
      </c>
      <c r="K94">
        <v>818214</v>
      </c>
      <c r="L94">
        <v>818254</v>
      </c>
      <c r="M94">
        <v>818291</v>
      </c>
      <c r="N94">
        <v>818439</v>
      </c>
      <c r="O94">
        <v>818580</v>
      </c>
      <c r="P94">
        <v>818627</v>
      </c>
      <c r="Q94">
        <v>818667</v>
      </c>
      <c r="R94">
        <v>818839</v>
      </c>
      <c r="S94">
        <v>818934</v>
      </c>
      <c r="T94">
        <v>819019</v>
      </c>
      <c r="U94">
        <v>819103</v>
      </c>
      <c r="V94">
        <v>819271</v>
      </c>
      <c r="W94">
        <v>819315</v>
      </c>
      <c r="X94">
        <v>819370</v>
      </c>
      <c r="Y94">
        <v>819445</v>
      </c>
      <c r="Z94">
        <v>819491</v>
      </c>
      <c r="AA94">
        <v>819533</v>
      </c>
      <c r="AB94">
        <v>819706</v>
      </c>
      <c r="AC94">
        <v>819995</v>
      </c>
      <c r="AD94">
        <v>820041</v>
      </c>
      <c r="AE94">
        <v>820088</v>
      </c>
      <c r="AF94">
        <v>820271</v>
      </c>
      <c r="AG94">
        <v>820495</v>
      </c>
      <c r="AH94">
        <v>820568</v>
      </c>
      <c r="AI94">
        <v>820630</v>
      </c>
      <c r="AJ94">
        <v>820670</v>
      </c>
      <c r="AK94">
        <v>820873</v>
      </c>
      <c r="AL94">
        <v>820921</v>
      </c>
      <c r="AM94">
        <v>820957</v>
      </c>
      <c r="AN94">
        <v>821024</v>
      </c>
      <c r="AO94">
        <v>821060</v>
      </c>
      <c r="AP94">
        <v>821288</v>
      </c>
      <c r="AQ94">
        <v>821319</v>
      </c>
      <c r="AR94">
        <v>821356</v>
      </c>
      <c r="AS94">
        <v>821451</v>
      </c>
      <c r="AT94">
        <v>821500</v>
      </c>
      <c r="AU94">
        <v>821710</v>
      </c>
      <c r="AV94">
        <v>821754</v>
      </c>
      <c r="AW94">
        <v>821805</v>
      </c>
      <c r="AX94">
        <v>821885</v>
      </c>
      <c r="AY94">
        <v>821931</v>
      </c>
      <c r="AZ94">
        <v>822143</v>
      </c>
      <c r="BA94">
        <v>822185</v>
      </c>
      <c r="BB94">
        <v>822236</v>
      </c>
      <c r="BC94">
        <v>822306</v>
      </c>
      <c r="BD94">
        <v>822352</v>
      </c>
      <c r="BE94">
        <v>822558</v>
      </c>
      <c r="BF94">
        <v>822647</v>
      </c>
      <c r="BG94">
        <v>822737</v>
      </c>
      <c r="BH94">
        <v>822777</v>
      </c>
      <c r="BI94">
        <v>823003</v>
      </c>
      <c r="BJ94">
        <v>823082</v>
      </c>
    </row>
    <row r="95" spans="1:62" x14ac:dyDescent="0.25">
      <c r="A95">
        <v>420</v>
      </c>
      <c r="B95">
        <v>420</v>
      </c>
      <c r="C95">
        <v>420</v>
      </c>
      <c r="D95">
        <v>420</v>
      </c>
      <c r="E95">
        <v>420</v>
      </c>
      <c r="F95">
        <v>420</v>
      </c>
      <c r="G95">
        <v>420</v>
      </c>
      <c r="H95">
        <v>420</v>
      </c>
      <c r="I95">
        <v>420</v>
      </c>
      <c r="J95">
        <v>420</v>
      </c>
      <c r="K95">
        <v>420</v>
      </c>
      <c r="L95">
        <v>420</v>
      </c>
      <c r="M95">
        <v>420</v>
      </c>
      <c r="N95">
        <v>420</v>
      </c>
      <c r="O95">
        <v>420</v>
      </c>
      <c r="P95">
        <v>420</v>
      </c>
      <c r="Q95">
        <v>420</v>
      </c>
      <c r="R95">
        <v>420</v>
      </c>
      <c r="S95">
        <v>420</v>
      </c>
      <c r="T95">
        <v>420</v>
      </c>
      <c r="U95">
        <v>420</v>
      </c>
      <c r="V95">
        <v>420</v>
      </c>
      <c r="W95">
        <v>420</v>
      </c>
      <c r="X95">
        <v>420</v>
      </c>
      <c r="Y95">
        <v>420</v>
      </c>
      <c r="Z95">
        <v>420</v>
      </c>
      <c r="AA95">
        <v>420</v>
      </c>
      <c r="AB95">
        <v>420</v>
      </c>
      <c r="AC95">
        <v>420</v>
      </c>
      <c r="AD95">
        <v>420</v>
      </c>
      <c r="AE95">
        <v>420</v>
      </c>
      <c r="AF95">
        <v>420</v>
      </c>
      <c r="AG95">
        <v>420</v>
      </c>
      <c r="AH95">
        <v>420</v>
      </c>
      <c r="AI95">
        <v>420</v>
      </c>
      <c r="AJ95">
        <v>420</v>
      </c>
      <c r="AK95">
        <v>420</v>
      </c>
      <c r="AL95">
        <v>420</v>
      </c>
      <c r="AM95">
        <v>420</v>
      </c>
      <c r="AN95">
        <v>420</v>
      </c>
      <c r="AO95">
        <v>420</v>
      </c>
      <c r="AP95">
        <v>420</v>
      </c>
      <c r="AQ95">
        <v>420</v>
      </c>
      <c r="AR95">
        <v>420</v>
      </c>
      <c r="AS95">
        <v>420</v>
      </c>
      <c r="AT95">
        <v>420</v>
      </c>
      <c r="AU95">
        <v>420</v>
      </c>
      <c r="AV95">
        <v>420</v>
      </c>
      <c r="AW95">
        <v>420</v>
      </c>
      <c r="AX95">
        <v>420</v>
      </c>
      <c r="AY95">
        <v>420</v>
      </c>
      <c r="AZ95">
        <v>420</v>
      </c>
      <c r="BA95">
        <v>420</v>
      </c>
      <c r="BB95">
        <v>420</v>
      </c>
      <c r="BC95">
        <v>420</v>
      </c>
      <c r="BD95">
        <v>420</v>
      </c>
      <c r="BE95">
        <v>420</v>
      </c>
      <c r="BF95">
        <v>420</v>
      </c>
      <c r="BG95">
        <v>420</v>
      </c>
      <c r="BH95">
        <v>420</v>
      </c>
      <c r="BI95">
        <v>420</v>
      </c>
      <c r="BJ95">
        <v>420</v>
      </c>
    </row>
    <row r="96" spans="1:62" x14ac:dyDescent="0.25">
      <c r="A96">
        <v>416</v>
      </c>
      <c r="B96">
        <v>416</v>
      </c>
      <c r="C96">
        <v>416</v>
      </c>
      <c r="D96">
        <v>416</v>
      </c>
      <c r="E96">
        <v>416</v>
      </c>
      <c r="F96">
        <v>416</v>
      </c>
      <c r="G96">
        <v>416</v>
      </c>
      <c r="H96">
        <v>416</v>
      </c>
      <c r="I96">
        <v>416</v>
      </c>
      <c r="J96">
        <v>416</v>
      </c>
      <c r="K96">
        <v>416</v>
      </c>
      <c r="L96">
        <v>416</v>
      </c>
      <c r="M96">
        <v>416</v>
      </c>
      <c r="N96">
        <v>416</v>
      </c>
      <c r="O96">
        <v>416</v>
      </c>
      <c r="P96">
        <v>416</v>
      </c>
      <c r="Q96">
        <v>416</v>
      </c>
      <c r="R96">
        <v>416</v>
      </c>
      <c r="S96">
        <v>416</v>
      </c>
      <c r="T96">
        <v>416</v>
      </c>
      <c r="U96">
        <v>416</v>
      </c>
      <c r="V96">
        <v>416</v>
      </c>
      <c r="W96">
        <v>416</v>
      </c>
      <c r="X96">
        <v>416</v>
      </c>
      <c r="Y96">
        <v>416</v>
      </c>
      <c r="Z96">
        <v>416</v>
      </c>
      <c r="AA96">
        <v>416</v>
      </c>
      <c r="AB96">
        <v>416</v>
      </c>
      <c r="AC96">
        <v>416</v>
      </c>
      <c r="AD96">
        <v>416</v>
      </c>
      <c r="AE96">
        <v>416</v>
      </c>
      <c r="AF96">
        <v>416</v>
      </c>
      <c r="AG96">
        <v>416</v>
      </c>
      <c r="AH96">
        <v>416</v>
      </c>
      <c r="AI96">
        <v>416</v>
      </c>
      <c r="AJ96">
        <v>416</v>
      </c>
      <c r="AK96">
        <v>416</v>
      </c>
      <c r="AL96">
        <v>416</v>
      </c>
      <c r="AM96">
        <v>416</v>
      </c>
      <c r="AN96">
        <v>416</v>
      </c>
      <c r="AO96">
        <v>416</v>
      </c>
      <c r="AP96">
        <v>416</v>
      </c>
      <c r="AQ96">
        <v>416</v>
      </c>
      <c r="AR96">
        <v>416</v>
      </c>
      <c r="AS96">
        <v>416</v>
      </c>
      <c r="AT96">
        <v>416</v>
      </c>
      <c r="AU96">
        <v>416</v>
      </c>
      <c r="AV96">
        <v>416</v>
      </c>
      <c r="AW96">
        <v>416</v>
      </c>
      <c r="AX96">
        <v>416</v>
      </c>
      <c r="AY96">
        <v>416</v>
      </c>
      <c r="AZ96">
        <v>416</v>
      </c>
      <c r="BA96">
        <v>416</v>
      </c>
      <c r="BB96">
        <v>416</v>
      </c>
      <c r="BC96">
        <v>416</v>
      </c>
      <c r="BD96">
        <v>416</v>
      </c>
      <c r="BE96">
        <v>416</v>
      </c>
      <c r="BF96">
        <v>416</v>
      </c>
      <c r="BG96">
        <v>416</v>
      </c>
      <c r="BH96">
        <v>416</v>
      </c>
      <c r="BI96">
        <v>416</v>
      </c>
      <c r="BJ96">
        <v>416</v>
      </c>
    </row>
    <row r="97" spans="1:62" x14ac:dyDescent="0.25">
      <c r="A97">
        <v>424</v>
      </c>
      <c r="B97">
        <v>424</v>
      </c>
      <c r="C97">
        <v>424</v>
      </c>
      <c r="D97">
        <v>424</v>
      </c>
      <c r="E97">
        <v>424</v>
      </c>
      <c r="F97">
        <v>424</v>
      </c>
      <c r="G97">
        <v>424</v>
      </c>
      <c r="H97">
        <v>424</v>
      </c>
      <c r="I97">
        <v>424</v>
      </c>
      <c r="J97">
        <v>424</v>
      </c>
      <c r="K97">
        <v>424</v>
      </c>
      <c r="L97">
        <v>424</v>
      </c>
      <c r="M97">
        <v>424</v>
      </c>
      <c r="N97">
        <v>424</v>
      </c>
      <c r="O97">
        <v>424</v>
      </c>
      <c r="P97">
        <v>424</v>
      </c>
      <c r="Q97">
        <v>424</v>
      </c>
      <c r="R97">
        <v>424</v>
      </c>
      <c r="S97">
        <v>424</v>
      </c>
      <c r="T97">
        <v>424</v>
      </c>
      <c r="U97">
        <v>424</v>
      </c>
      <c r="V97">
        <v>424</v>
      </c>
      <c r="W97">
        <v>424</v>
      </c>
      <c r="X97">
        <v>424</v>
      </c>
      <c r="Y97">
        <v>424</v>
      </c>
      <c r="Z97">
        <v>424</v>
      </c>
      <c r="AA97">
        <v>424</v>
      </c>
      <c r="AB97">
        <v>424</v>
      </c>
      <c r="AC97">
        <v>424</v>
      </c>
      <c r="AD97">
        <v>424</v>
      </c>
      <c r="AE97">
        <v>424</v>
      </c>
      <c r="AF97">
        <v>424</v>
      </c>
      <c r="AG97">
        <v>424</v>
      </c>
      <c r="AH97">
        <v>424</v>
      </c>
      <c r="AI97">
        <v>424</v>
      </c>
      <c r="AJ97">
        <v>424</v>
      </c>
      <c r="AK97">
        <v>424</v>
      </c>
      <c r="AL97">
        <v>424</v>
      </c>
      <c r="AM97">
        <v>424</v>
      </c>
      <c r="AN97">
        <v>424</v>
      </c>
      <c r="AO97">
        <v>424</v>
      </c>
      <c r="AP97">
        <v>424</v>
      </c>
      <c r="AQ97">
        <v>424</v>
      </c>
      <c r="AR97">
        <v>424</v>
      </c>
      <c r="AS97">
        <v>424</v>
      </c>
      <c r="AT97">
        <v>424</v>
      </c>
      <c r="AU97">
        <v>424</v>
      </c>
      <c r="AV97">
        <v>424</v>
      </c>
      <c r="AW97">
        <v>424</v>
      </c>
      <c r="AX97">
        <v>424</v>
      </c>
      <c r="AY97">
        <v>424</v>
      </c>
      <c r="AZ97">
        <v>424</v>
      </c>
      <c r="BA97">
        <v>424</v>
      </c>
      <c r="BB97">
        <v>424</v>
      </c>
      <c r="BC97">
        <v>424</v>
      </c>
      <c r="BD97">
        <v>424</v>
      </c>
      <c r="BE97">
        <v>424</v>
      </c>
      <c r="BF97">
        <v>424</v>
      </c>
      <c r="BG97">
        <v>424</v>
      </c>
      <c r="BH97">
        <v>424</v>
      </c>
      <c r="BI97">
        <v>424</v>
      </c>
      <c r="BJ97">
        <v>424</v>
      </c>
    </row>
    <row r="98" spans="1:62" x14ac:dyDescent="0.25">
      <c r="A98">
        <v>419.9</v>
      </c>
      <c r="B98">
        <v>421.94</v>
      </c>
      <c r="C98">
        <v>420.6</v>
      </c>
      <c r="D98">
        <v>421.9</v>
      </c>
      <c r="E98">
        <v>419.8</v>
      </c>
      <c r="F98">
        <v>421.4</v>
      </c>
      <c r="G98">
        <v>419.3</v>
      </c>
      <c r="H98">
        <v>422.1</v>
      </c>
      <c r="I98">
        <v>422.2</v>
      </c>
      <c r="J98">
        <v>421.66</v>
      </c>
      <c r="K98">
        <v>420.29</v>
      </c>
      <c r="L98">
        <v>421.82</v>
      </c>
      <c r="M98">
        <v>422.23</v>
      </c>
      <c r="N98">
        <v>421.5</v>
      </c>
      <c r="O98">
        <v>421.09</v>
      </c>
      <c r="P98">
        <v>420.49</v>
      </c>
      <c r="Q98">
        <v>420.79</v>
      </c>
      <c r="R98">
        <v>420.69</v>
      </c>
      <c r="S98">
        <v>421.5</v>
      </c>
      <c r="T98">
        <v>420.9</v>
      </c>
      <c r="U98">
        <v>421.7</v>
      </c>
      <c r="V98">
        <v>419.96</v>
      </c>
      <c r="W98">
        <v>421.8</v>
      </c>
      <c r="X98">
        <v>421.5</v>
      </c>
      <c r="Y98">
        <v>422.1</v>
      </c>
      <c r="Z98">
        <v>420.91</v>
      </c>
      <c r="AA98">
        <v>421.57</v>
      </c>
      <c r="AB98">
        <v>420.2</v>
      </c>
      <c r="AC98">
        <v>421.33</v>
      </c>
      <c r="AD98">
        <v>421.34</v>
      </c>
      <c r="AE98">
        <v>421.51</v>
      </c>
      <c r="AF98">
        <v>420.54</v>
      </c>
      <c r="AG98">
        <v>420.95</v>
      </c>
      <c r="AH98">
        <v>421.52</v>
      </c>
      <c r="AI98">
        <v>421.8</v>
      </c>
      <c r="AJ98">
        <v>422.09</v>
      </c>
      <c r="AK98">
        <v>419.84</v>
      </c>
      <c r="AL98">
        <v>421.22</v>
      </c>
      <c r="AM98">
        <v>420.96</v>
      </c>
      <c r="AN98">
        <v>421.22</v>
      </c>
      <c r="AO98">
        <v>420.98</v>
      </c>
      <c r="AP98">
        <v>421.62</v>
      </c>
      <c r="AQ98">
        <v>421.37</v>
      </c>
      <c r="AR98">
        <v>422.2</v>
      </c>
      <c r="AS98">
        <v>422.02</v>
      </c>
      <c r="AT98">
        <v>422.52</v>
      </c>
      <c r="AU98">
        <v>419.99</v>
      </c>
      <c r="AV98">
        <v>422.28</v>
      </c>
      <c r="AW98">
        <v>421.27</v>
      </c>
      <c r="AX98">
        <v>422.23</v>
      </c>
      <c r="AY98">
        <v>422.6</v>
      </c>
      <c r="AZ98">
        <v>421.16</v>
      </c>
      <c r="BA98">
        <v>421.54</v>
      </c>
      <c r="BB98">
        <v>421</v>
      </c>
      <c r="BC98">
        <v>422.02</v>
      </c>
      <c r="BD98">
        <v>422.3</v>
      </c>
      <c r="BE98">
        <v>420.75</v>
      </c>
      <c r="BF98">
        <v>421.7</v>
      </c>
      <c r="BG98">
        <v>421.91</v>
      </c>
      <c r="BH98">
        <v>421.84</v>
      </c>
      <c r="BI98">
        <v>420.1</v>
      </c>
      <c r="BJ98">
        <v>421.46</v>
      </c>
    </row>
    <row r="99" spans="1:62" x14ac:dyDescent="0.25">
      <c r="A99" t="s">
        <v>29</v>
      </c>
      <c r="B99" t="s">
        <v>30</v>
      </c>
      <c r="C99" t="s">
        <v>53</v>
      </c>
      <c r="D99" t="s">
        <v>54</v>
      </c>
      <c r="E99" t="s">
        <v>61</v>
      </c>
      <c r="F99" t="s">
        <v>62</v>
      </c>
      <c r="G99" t="s">
        <v>17</v>
      </c>
      <c r="H99">
        <v>62</v>
      </c>
    </row>
    <row r="100" spans="1:62" x14ac:dyDescent="0.25">
      <c r="A100" s="3">
        <v>46169</v>
      </c>
      <c r="B100" s="3">
        <v>46169</v>
      </c>
      <c r="C100" s="3">
        <v>46169</v>
      </c>
      <c r="D100" s="3">
        <v>46169</v>
      </c>
      <c r="E100" s="3">
        <v>46170</v>
      </c>
      <c r="F100" s="3">
        <v>46170</v>
      </c>
      <c r="G100" s="3">
        <v>46171</v>
      </c>
      <c r="H100" s="3">
        <v>46171</v>
      </c>
      <c r="I100" s="3">
        <v>46171</v>
      </c>
      <c r="J100" s="3">
        <v>46171</v>
      </c>
      <c r="K100" s="3">
        <v>46172</v>
      </c>
      <c r="L100" s="3">
        <v>46172</v>
      </c>
      <c r="M100" s="3">
        <v>46172</v>
      </c>
      <c r="N100" s="3">
        <v>46174</v>
      </c>
      <c r="O100" s="3">
        <v>46174</v>
      </c>
      <c r="P100" s="3">
        <v>46174</v>
      </c>
      <c r="Q100" s="3">
        <v>46174</v>
      </c>
      <c r="R100" s="3">
        <v>46175</v>
      </c>
      <c r="S100" s="3">
        <v>46175</v>
      </c>
      <c r="T100" s="3">
        <v>46175</v>
      </c>
      <c r="U100" s="3">
        <v>46176</v>
      </c>
      <c r="V100" s="3">
        <v>46176</v>
      </c>
      <c r="W100" s="3">
        <v>46176</v>
      </c>
      <c r="X100" s="3">
        <v>46176</v>
      </c>
      <c r="Y100" s="3">
        <v>46176</v>
      </c>
      <c r="Z100" s="3">
        <v>46176</v>
      </c>
      <c r="AA100" s="3">
        <v>46176</v>
      </c>
      <c r="AB100" s="3">
        <v>46177</v>
      </c>
      <c r="AC100" s="3">
        <v>46178</v>
      </c>
      <c r="AD100" s="3">
        <v>46178</v>
      </c>
      <c r="AE100" s="3">
        <v>46178</v>
      </c>
      <c r="AF100" s="3">
        <v>46179</v>
      </c>
      <c r="AG100" s="3">
        <v>46180</v>
      </c>
      <c r="AH100" s="3">
        <v>46180</v>
      </c>
      <c r="AI100" s="3">
        <v>46180</v>
      </c>
      <c r="AJ100" s="3">
        <v>46180</v>
      </c>
      <c r="AK100" s="3">
        <v>46181</v>
      </c>
      <c r="AL100" s="3">
        <v>46181</v>
      </c>
      <c r="AM100" s="3">
        <v>46181</v>
      </c>
      <c r="AN100" s="3">
        <v>46181</v>
      </c>
      <c r="AO100" s="3">
        <v>46181</v>
      </c>
      <c r="AP100" s="3">
        <v>46182</v>
      </c>
      <c r="AQ100" s="3">
        <v>46182</v>
      </c>
      <c r="AR100" s="3">
        <v>46182</v>
      </c>
      <c r="AS100" s="3">
        <v>46182</v>
      </c>
      <c r="AT100" s="3">
        <v>46182</v>
      </c>
      <c r="AU100" s="3">
        <v>46183</v>
      </c>
      <c r="AV100" s="3">
        <v>46183</v>
      </c>
      <c r="AW100" s="3">
        <v>46183</v>
      </c>
      <c r="AX100" s="3">
        <v>46183</v>
      </c>
      <c r="AY100" s="3">
        <v>46183</v>
      </c>
      <c r="AZ100" s="3">
        <v>46184</v>
      </c>
      <c r="BA100" s="3">
        <v>46184</v>
      </c>
      <c r="BB100" s="3">
        <v>46184</v>
      </c>
      <c r="BC100" s="3">
        <v>46184</v>
      </c>
      <c r="BD100" s="3">
        <v>46184</v>
      </c>
      <c r="BE100" s="3">
        <v>46185</v>
      </c>
      <c r="BF100" s="3">
        <v>46185</v>
      </c>
      <c r="BG100" s="3">
        <v>46185</v>
      </c>
      <c r="BH100" s="3">
        <v>46185</v>
      </c>
      <c r="BI100" s="3">
        <v>46186</v>
      </c>
      <c r="BJ100" s="3">
        <v>46186</v>
      </c>
    </row>
    <row r="101" spans="1:62" x14ac:dyDescent="0.25">
      <c r="A101">
        <v>816948</v>
      </c>
      <c r="B101">
        <v>816987</v>
      </c>
      <c r="C101">
        <v>816998</v>
      </c>
      <c r="D101">
        <v>817092</v>
      </c>
      <c r="E101">
        <v>817353</v>
      </c>
      <c r="F101">
        <v>817441</v>
      </c>
      <c r="G101">
        <v>817773</v>
      </c>
      <c r="H101">
        <v>817861</v>
      </c>
      <c r="I101">
        <v>817943</v>
      </c>
      <c r="J101">
        <v>817985</v>
      </c>
      <c r="K101">
        <v>818214</v>
      </c>
      <c r="L101">
        <v>818254</v>
      </c>
      <c r="M101">
        <v>818291</v>
      </c>
      <c r="N101">
        <v>818439</v>
      </c>
      <c r="O101">
        <v>818580</v>
      </c>
      <c r="P101">
        <v>818627</v>
      </c>
      <c r="Q101">
        <v>818667</v>
      </c>
      <c r="R101">
        <v>818839</v>
      </c>
      <c r="S101">
        <v>818934</v>
      </c>
      <c r="T101">
        <v>819019</v>
      </c>
      <c r="U101">
        <v>819103</v>
      </c>
      <c r="V101">
        <v>819271</v>
      </c>
      <c r="W101">
        <v>819315</v>
      </c>
      <c r="X101">
        <v>819370</v>
      </c>
      <c r="Y101">
        <v>819445</v>
      </c>
      <c r="Z101">
        <v>819491</v>
      </c>
      <c r="AA101">
        <v>819533</v>
      </c>
      <c r="AB101">
        <v>819706</v>
      </c>
      <c r="AC101">
        <v>819995</v>
      </c>
      <c r="AD101">
        <v>820041</v>
      </c>
      <c r="AE101">
        <v>820088</v>
      </c>
      <c r="AF101">
        <v>820271</v>
      </c>
      <c r="AG101">
        <v>820495</v>
      </c>
      <c r="AH101">
        <v>820568</v>
      </c>
      <c r="AI101">
        <v>820630</v>
      </c>
      <c r="AJ101">
        <v>820670</v>
      </c>
      <c r="AK101">
        <v>820873</v>
      </c>
      <c r="AL101">
        <v>820921</v>
      </c>
      <c r="AM101">
        <v>820957</v>
      </c>
      <c r="AN101">
        <v>821024</v>
      </c>
      <c r="AO101">
        <v>821060</v>
      </c>
      <c r="AP101">
        <v>821288</v>
      </c>
      <c r="AQ101">
        <v>821319</v>
      </c>
      <c r="AR101">
        <v>821356</v>
      </c>
      <c r="AS101">
        <v>821451</v>
      </c>
      <c r="AT101">
        <v>821500</v>
      </c>
      <c r="AU101">
        <v>821710</v>
      </c>
      <c r="AV101">
        <v>821754</v>
      </c>
      <c r="AW101">
        <v>821805</v>
      </c>
      <c r="AX101">
        <v>821885</v>
      </c>
      <c r="AY101">
        <v>821931</v>
      </c>
      <c r="AZ101">
        <v>822143</v>
      </c>
      <c r="BA101">
        <v>822185</v>
      </c>
      <c r="BB101">
        <v>822236</v>
      </c>
      <c r="BC101">
        <v>822306</v>
      </c>
      <c r="BD101">
        <v>822352</v>
      </c>
      <c r="BE101">
        <v>822558</v>
      </c>
      <c r="BF101">
        <v>822647</v>
      </c>
      <c r="BG101">
        <v>822737</v>
      </c>
      <c r="BH101">
        <v>822777</v>
      </c>
      <c r="BI101">
        <v>823003</v>
      </c>
      <c r="BJ101">
        <v>823082</v>
      </c>
    </row>
    <row r="102" spans="1:62" x14ac:dyDescent="0.25">
      <c r="A102">
        <v>459.6</v>
      </c>
      <c r="B102">
        <v>459.6</v>
      </c>
      <c r="C102">
        <v>459.6</v>
      </c>
      <c r="D102">
        <v>459.6</v>
      </c>
      <c r="E102">
        <v>459.6</v>
      </c>
      <c r="F102">
        <v>459.6</v>
      </c>
      <c r="G102">
        <v>459.6</v>
      </c>
      <c r="H102">
        <v>459.6</v>
      </c>
      <c r="I102">
        <v>459.6</v>
      </c>
      <c r="J102">
        <v>459.6</v>
      </c>
      <c r="K102">
        <v>459.6</v>
      </c>
      <c r="L102">
        <v>459.6</v>
      </c>
      <c r="M102">
        <v>459.6</v>
      </c>
      <c r="N102">
        <v>459.6</v>
      </c>
      <c r="O102">
        <v>459.6</v>
      </c>
      <c r="P102">
        <v>459.6</v>
      </c>
      <c r="Q102">
        <v>459.6</v>
      </c>
      <c r="R102">
        <v>459.6</v>
      </c>
      <c r="S102">
        <v>459.6</v>
      </c>
      <c r="T102">
        <v>459.6</v>
      </c>
      <c r="U102">
        <v>459.6</v>
      </c>
      <c r="V102">
        <v>459.6</v>
      </c>
      <c r="W102">
        <v>459.6</v>
      </c>
      <c r="X102">
        <v>459.6</v>
      </c>
      <c r="Y102">
        <v>459.6</v>
      </c>
      <c r="Z102">
        <v>459.6</v>
      </c>
      <c r="AA102">
        <v>459.6</v>
      </c>
      <c r="AB102">
        <v>459.6</v>
      </c>
      <c r="AC102">
        <v>459.6</v>
      </c>
      <c r="AD102">
        <v>459.6</v>
      </c>
      <c r="AE102">
        <v>459.6</v>
      </c>
      <c r="AF102">
        <v>459.6</v>
      </c>
      <c r="AG102">
        <v>459.6</v>
      </c>
      <c r="AH102">
        <v>459.6</v>
      </c>
      <c r="AI102">
        <v>459.6</v>
      </c>
      <c r="AJ102">
        <v>459.6</v>
      </c>
      <c r="AK102">
        <v>459.6</v>
      </c>
      <c r="AL102">
        <v>459.6</v>
      </c>
      <c r="AM102">
        <v>459.6</v>
      </c>
      <c r="AN102">
        <v>459.6</v>
      </c>
      <c r="AO102">
        <v>459.6</v>
      </c>
      <c r="AP102">
        <v>459.6</v>
      </c>
      <c r="AQ102">
        <v>459.6</v>
      </c>
      <c r="AR102">
        <v>459.6</v>
      </c>
      <c r="AS102">
        <v>459.6</v>
      </c>
      <c r="AT102">
        <v>459.6</v>
      </c>
      <c r="AU102">
        <v>459.6</v>
      </c>
      <c r="AV102">
        <v>459.6</v>
      </c>
      <c r="AW102">
        <v>459.6</v>
      </c>
      <c r="AX102">
        <v>459.6</v>
      </c>
      <c r="AY102">
        <v>459.6</v>
      </c>
      <c r="AZ102">
        <v>459.6</v>
      </c>
      <c r="BA102">
        <v>459.6</v>
      </c>
      <c r="BB102">
        <v>459.6</v>
      </c>
      <c r="BC102">
        <v>459.6</v>
      </c>
      <c r="BD102">
        <v>459.6</v>
      </c>
      <c r="BE102">
        <v>459.6</v>
      </c>
      <c r="BF102">
        <v>459.6</v>
      </c>
      <c r="BG102">
        <v>459.6</v>
      </c>
      <c r="BH102">
        <v>459.6</v>
      </c>
      <c r="BI102">
        <v>459.6</v>
      </c>
      <c r="BJ102">
        <v>459.6</v>
      </c>
    </row>
    <row r="103" spans="1:62" x14ac:dyDescent="0.25">
      <c r="A103">
        <v>455.6</v>
      </c>
      <c r="B103">
        <v>455.6</v>
      </c>
      <c r="C103">
        <v>455.6</v>
      </c>
      <c r="D103">
        <v>455.6</v>
      </c>
      <c r="E103">
        <v>455.6</v>
      </c>
      <c r="F103">
        <v>455.6</v>
      </c>
      <c r="G103">
        <v>455.6</v>
      </c>
      <c r="H103">
        <v>455.6</v>
      </c>
      <c r="I103">
        <v>455.6</v>
      </c>
      <c r="J103">
        <v>455.6</v>
      </c>
      <c r="K103">
        <v>455.6</v>
      </c>
      <c r="L103">
        <v>455.6</v>
      </c>
      <c r="M103">
        <v>455.6</v>
      </c>
      <c r="N103">
        <v>455.6</v>
      </c>
      <c r="O103">
        <v>455.6</v>
      </c>
      <c r="P103">
        <v>455.6</v>
      </c>
      <c r="Q103">
        <v>455.6</v>
      </c>
      <c r="R103">
        <v>455.6</v>
      </c>
      <c r="S103">
        <v>455.6</v>
      </c>
      <c r="T103">
        <v>455.6</v>
      </c>
      <c r="U103">
        <v>455.6</v>
      </c>
      <c r="V103">
        <v>455.6</v>
      </c>
      <c r="W103">
        <v>455.6</v>
      </c>
      <c r="X103">
        <v>455.6</v>
      </c>
      <c r="Y103">
        <v>455.6</v>
      </c>
      <c r="Z103">
        <v>455.6</v>
      </c>
      <c r="AA103">
        <v>455.6</v>
      </c>
      <c r="AB103">
        <v>455.6</v>
      </c>
      <c r="AC103">
        <v>455.6</v>
      </c>
      <c r="AD103">
        <v>455.6</v>
      </c>
      <c r="AE103">
        <v>455.6</v>
      </c>
      <c r="AF103">
        <v>455.6</v>
      </c>
      <c r="AG103">
        <v>455.6</v>
      </c>
      <c r="AH103">
        <v>455.6</v>
      </c>
      <c r="AI103">
        <v>455.6</v>
      </c>
      <c r="AJ103">
        <v>455.6</v>
      </c>
      <c r="AK103">
        <v>455.6</v>
      </c>
      <c r="AL103">
        <v>455.6</v>
      </c>
      <c r="AM103">
        <v>455.6</v>
      </c>
      <c r="AN103">
        <v>455.6</v>
      </c>
      <c r="AO103">
        <v>455.6</v>
      </c>
      <c r="AP103">
        <v>455.6</v>
      </c>
      <c r="AQ103">
        <v>455.6</v>
      </c>
      <c r="AR103">
        <v>455.6</v>
      </c>
      <c r="AS103">
        <v>455.6</v>
      </c>
      <c r="AT103">
        <v>455.6</v>
      </c>
      <c r="AU103">
        <v>455.6</v>
      </c>
      <c r="AV103">
        <v>455.6</v>
      </c>
      <c r="AW103">
        <v>455.6</v>
      </c>
      <c r="AX103">
        <v>455.6</v>
      </c>
      <c r="AY103">
        <v>455.6</v>
      </c>
      <c r="AZ103">
        <v>455.6</v>
      </c>
      <c r="BA103">
        <v>455.6</v>
      </c>
      <c r="BB103">
        <v>455.6</v>
      </c>
      <c r="BC103">
        <v>455.6</v>
      </c>
      <c r="BD103">
        <v>455.6</v>
      </c>
      <c r="BE103">
        <v>455.6</v>
      </c>
      <c r="BF103">
        <v>455.6</v>
      </c>
      <c r="BG103">
        <v>455.6</v>
      </c>
      <c r="BH103">
        <v>455.6</v>
      </c>
      <c r="BI103">
        <v>455.6</v>
      </c>
      <c r="BJ103">
        <v>455.6</v>
      </c>
    </row>
    <row r="104" spans="1:62" x14ac:dyDescent="0.25">
      <c r="A104">
        <v>463.6</v>
      </c>
      <c r="B104">
        <v>463.6</v>
      </c>
      <c r="C104">
        <v>463.6</v>
      </c>
      <c r="D104">
        <v>463.6</v>
      </c>
      <c r="E104">
        <v>463.6</v>
      </c>
      <c r="F104">
        <v>463.6</v>
      </c>
      <c r="G104">
        <v>463.6</v>
      </c>
      <c r="H104">
        <v>463.6</v>
      </c>
      <c r="I104">
        <v>463.6</v>
      </c>
      <c r="J104">
        <v>463.6</v>
      </c>
      <c r="K104">
        <v>463.6</v>
      </c>
      <c r="L104">
        <v>463.6</v>
      </c>
      <c r="M104">
        <v>463.6</v>
      </c>
      <c r="N104">
        <v>463.6</v>
      </c>
      <c r="O104">
        <v>463.6</v>
      </c>
      <c r="P104">
        <v>463.6</v>
      </c>
      <c r="Q104">
        <v>463.6</v>
      </c>
      <c r="R104">
        <v>463.6</v>
      </c>
      <c r="S104">
        <v>463.6</v>
      </c>
      <c r="T104">
        <v>463.6</v>
      </c>
      <c r="U104">
        <v>463.6</v>
      </c>
      <c r="V104">
        <v>463.6</v>
      </c>
      <c r="W104">
        <v>463.6</v>
      </c>
      <c r="X104">
        <v>463.6</v>
      </c>
      <c r="Y104">
        <v>463.6</v>
      </c>
      <c r="Z104">
        <v>463.6</v>
      </c>
      <c r="AA104">
        <v>463.6</v>
      </c>
      <c r="AB104">
        <v>463.6</v>
      </c>
      <c r="AC104">
        <v>463.6</v>
      </c>
      <c r="AD104">
        <v>463.6</v>
      </c>
      <c r="AE104">
        <v>463.6</v>
      </c>
      <c r="AF104">
        <v>463.6</v>
      </c>
      <c r="AG104">
        <v>463.6</v>
      </c>
      <c r="AH104">
        <v>463.6</v>
      </c>
      <c r="AI104">
        <v>463.6</v>
      </c>
      <c r="AJ104">
        <v>463.6</v>
      </c>
      <c r="AK104">
        <v>463.6</v>
      </c>
      <c r="AL104">
        <v>463.6</v>
      </c>
      <c r="AM104">
        <v>463.6</v>
      </c>
      <c r="AN104">
        <v>463.6</v>
      </c>
      <c r="AO104">
        <v>463.6</v>
      </c>
      <c r="AP104">
        <v>463.6</v>
      </c>
      <c r="AQ104">
        <v>463.6</v>
      </c>
      <c r="AR104">
        <v>463.6</v>
      </c>
      <c r="AS104">
        <v>463.6</v>
      </c>
      <c r="AT104">
        <v>463.6</v>
      </c>
      <c r="AU104">
        <v>463.6</v>
      </c>
      <c r="AV104">
        <v>463.6</v>
      </c>
      <c r="AW104">
        <v>463.6</v>
      </c>
      <c r="AX104">
        <v>463.6</v>
      </c>
      <c r="AY104">
        <v>463.6</v>
      </c>
      <c r="AZ104">
        <v>463.6</v>
      </c>
      <c r="BA104">
        <v>463.6</v>
      </c>
      <c r="BB104">
        <v>463.6</v>
      </c>
      <c r="BC104">
        <v>463.6</v>
      </c>
      <c r="BD104">
        <v>463.6</v>
      </c>
      <c r="BE104">
        <v>463.6</v>
      </c>
      <c r="BF104">
        <v>463.6</v>
      </c>
      <c r="BG104">
        <v>463.6</v>
      </c>
      <c r="BH104">
        <v>463.6</v>
      </c>
      <c r="BI104">
        <v>463.6</v>
      </c>
      <c r="BJ104">
        <v>463.6</v>
      </c>
    </row>
    <row r="105" spans="1:62" x14ac:dyDescent="0.25">
      <c r="A105">
        <v>460.13</v>
      </c>
      <c r="B105">
        <v>459.11</v>
      </c>
      <c r="C105">
        <v>460.06</v>
      </c>
      <c r="D105">
        <v>459.5</v>
      </c>
      <c r="E105">
        <v>459.9</v>
      </c>
      <c r="F105">
        <v>459.3</v>
      </c>
      <c r="G105">
        <v>459.8</v>
      </c>
      <c r="H105">
        <v>459.4</v>
      </c>
      <c r="I105">
        <v>460.1</v>
      </c>
      <c r="J105">
        <v>460.57</v>
      </c>
      <c r="K105">
        <v>459.02</v>
      </c>
      <c r="L105">
        <v>458.89</v>
      </c>
      <c r="M105">
        <v>459.69</v>
      </c>
      <c r="N105">
        <v>460.23</v>
      </c>
      <c r="O105">
        <v>459.21</v>
      </c>
      <c r="P105">
        <v>459.48</v>
      </c>
      <c r="Q105">
        <v>458.83</v>
      </c>
      <c r="R105">
        <v>459.36</v>
      </c>
      <c r="S105">
        <v>459.6</v>
      </c>
      <c r="T105">
        <v>459</v>
      </c>
      <c r="U105">
        <v>459.1</v>
      </c>
      <c r="V105">
        <v>459.55</v>
      </c>
      <c r="W105">
        <v>459.6</v>
      </c>
      <c r="X105">
        <v>459.5</v>
      </c>
      <c r="Y105">
        <v>459.7</v>
      </c>
      <c r="Z105">
        <v>459.08</v>
      </c>
      <c r="AA105">
        <v>459.75</v>
      </c>
      <c r="AB105">
        <v>459.87</v>
      </c>
      <c r="AC105">
        <v>459.59</v>
      </c>
      <c r="AD105">
        <v>459.76</v>
      </c>
      <c r="AE105">
        <v>459.45</v>
      </c>
      <c r="AF105">
        <v>459.52</v>
      </c>
      <c r="AG105">
        <v>459.69</v>
      </c>
      <c r="AH105">
        <v>459.9</v>
      </c>
      <c r="AI105">
        <v>459.7</v>
      </c>
      <c r="AJ105">
        <v>459.73</v>
      </c>
      <c r="AK105">
        <v>460.2</v>
      </c>
      <c r="AL105">
        <v>459.71</v>
      </c>
      <c r="AM105">
        <v>460.12</v>
      </c>
      <c r="AN105">
        <v>460.1</v>
      </c>
      <c r="AO105">
        <v>460.14</v>
      </c>
      <c r="AP105">
        <v>461.17</v>
      </c>
      <c r="AQ105">
        <v>460.51</v>
      </c>
      <c r="AR105">
        <v>460.47</v>
      </c>
      <c r="AS105">
        <v>459.74</v>
      </c>
      <c r="AT105">
        <v>459.81</v>
      </c>
      <c r="AU105">
        <v>460.17</v>
      </c>
      <c r="AV105">
        <v>459.78</v>
      </c>
      <c r="AW105">
        <v>459.62</v>
      </c>
      <c r="AX105">
        <v>460.16</v>
      </c>
      <c r="AY105">
        <v>460.53</v>
      </c>
      <c r="AZ105">
        <v>460.49</v>
      </c>
      <c r="BA105">
        <v>460.02</v>
      </c>
      <c r="BB105">
        <v>459.47</v>
      </c>
      <c r="BC105">
        <v>459.7</v>
      </c>
      <c r="BD105">
        <v>459.74</v>
      </c>
      <c r="BE105">
        <v>459.25</v>
      </c>
      <c r="BF105">
        <v>459.88</v>
      </c>
      <c r="BG105">
        <v>460.03</v>
      </c>
      <c r="BH105">
        <v>460.53</v>
      </c>
      <c r="BI105">
        <v>460.25</v>
      </c>
      <c r="BJ105">
        <v>459.19</v>
      </c>
    </row>
    <row r="106" spans="1:62" x14ac:dyDescent="0.25">
      <c r="A106" t="s">
        <v>29</v>
      </c>
      <c r="B106" t="s">
        <v>30</v>
      </c>
      <c r="C106" t="s">
        <v>53</v>
      </c>
      <c r="D106" t="s">
        <v>54</v>
      </c>
      <c r="E106" t="s">
        <v>63</v>
      </c>
      <c r="F106" t="s">
        <v>64</v>
      </c>
      <c r="G106" t="s">
        <v>22</v>
      </c>
      <c r="H106">
        <v>62</v>
      </c>
    </row>
    <row r="107" spans="1:62" x14ac:dyDescent="0.25">
      <c r="A107" s="3">
        <v>46169</v>
      </c>
      <c r="B107" s="3">
        <v>46169</v>
      </c>
      <c r="C107" s="3">
        <v>46169</v>
      </c>
      <c r="D107" s="3">
        <v>46169</v>
      </c>
      <c r="E107" s="3">
        <v>46170</v>
      </c>
      <c r="F107" s="3">
        <v>46170</v>
      </c>
      <c r="G107" s="3">
        <v>46171</v>
      </c>
      <c r="H107" s="3">
        <v>46171</v>
      </c>
      <c r="I107" s="3">
        <v>46171</v>
      </c>
      <c r="J107" s="3">
        <v>46171</v>
      </c>
      <c r="K107" s="3">
        <v>46172</v>
      </c>
      <c r="L107" s="3">
        <v>46172</v>
      </c>
      <c r="M107" s="3">
        <v>46172</v>
      </c>
      <c r="N107" s="3">
        <v>46174</v>
      </c>
      <c r="O107" s="3">
        <v>46174</v>
      </c>
      <c r="P107" s="3">
        <v>46174</v>
      </c>
      <c r="Q107" s="3">
        <v>46174</v>
      </c>
      <c r="R107" s="3">
        <v>46175</v>
      </c>
      <c r="S107" s="3">
        <v>46175</v>
      </c>
      <c r="T107" s="3">
        <v>46175</v>
      </c>
      <c r="U107" s="3">
        <v>46176</v>
      </c>
      <c r="V107" s="3">
        <v>46176</v>
      </c>
      <c r="W107" s="3">
        <v>46176</v>
      </c>
      <c r="X107" s="3">
        <v>46176</v>
      </c>
      <c r="Y107" s="3">
        <v>46176</v>
      </c>
      <c r="Z107" s="3">
        <v>46176</v>
      </c>
      <c r="AA107" s="3">
        <v>46176</v>
      </c>
      <c r="AB107" s="3">
        <v>46177</v>
      </c>
      <c r="AC107" s="3">
        <v>46178</v>
      </c>
      <c r="AD107" s="3">
        <v>46178</v>
      </c>
      <c r="AE107" s="3">
        <v>46178</v>
      </c>
      <c r="AF107" s="3">
        <v>46179</v>
      </c>
      <c r="AG107" s="3">
        <v>46180</v>
      </c>
      <c r="AH107" s="3">
        <v>46180</v>
      </c>
      <c r="AI107" s="3">
        <v>46180</v>
      </c>
      <c r="AJ107" s="3">
        <v>46180</v>
      </c>
      <c r="AK107" s="3">
        <v>46181</v>
      </c>
      <c r="AL107" s="3">
        <v>46181</v>
      </c>
      <c r="AM107" s="3">
        <v>46181</v>
      </c>
      <c r="AN107" s="3">
        <v>46181</v>
      </c>
      <c r="AO107" s="3">
        <v>46181</v>
      </c>
      <c r="AP107" s="3">
        <v>46182</v>
      </c>
      <c r="AQ107" s="3">
        <v>46182</v>
      </c>
      <c r="AR107" s="3">
        <v>46182</v>
      </c>
      <c r="AS107" s="3">
        <v>46182</v>
      </c>
      <c r="AT107" s="3">
        <v>46182</v>
      </c>
      <c r="AU107" s="3">
        <v>46183</v>
      </c>
      <c r="AV107" s="3">
        <v>46183</v>
      </c>
      <c r="AW107" s="3">
        <v>46183</v>
      </c>
      <c r="AX107" s="3">
        <v>46183</v>
      </c>
      <c r="AY107" s="3">
        <v>46183</v>
      </c>
      <c r="AZ107" s="3">
        <v>46184</v>
      </c>
      <c r="BA107" s="3">
        <v>46184</v>
      </c>
      <c r="BB107" s="3">
        <v>46184</v>
      </c>
      <c r="BC107" s="3">
        <v>46184</v>
      </c>
      <c r="BD107" s="3">
        <v>46184</v>
      </c>
      <c r="BE107" s="3">
        <v>46185</v>
      </c>
      <c r="BF107" s="3">
        <v>46185</v>
      </c>
      <c r="BG107" s="3">
        <v>46185</v>
      </c>
      <c r="BH107" s="3">
        <v>46185</v>
      </c>
      <c r="BI107" s="3">
        <v>46186</v>
      </c>
      <c r="BJ107" s="3">
        <v>46186</v>
      </c>
    </row>
    <row r="108" spans="1:62" x14ac:dyDescent="0.25">
      <c r="A108">
        <v>816948</v>
      </c>
      <c r="B108">
        <v>816987</v>
      </c>
      <c r="C108">
        <v>816998</v>
      </c>
      <c r="D108">
        <v>817092</v>
      </c>
      <c r="E108">
        <v>817353</v>
      </c>
      <c r="F108">
        <v>817441</v>
      </c>
      <c r="G108">
        <v>817773</v>
      </c>
      <c r="H108">
        <v>817861</v>
      </c>
      <c r="I108">
        <v>817943</v>
      </c>
      <c r="J108">
        <v>817985</v>
      </c>
      <c r="K108">
        <v>818214</v>
      </c>
      <c r="L108">
        <v>818254</v>
      </c>
      <c r="M108">
        <v>818291</v>
      </c>
      <c r="N108">
        <v>818439</v>
      </c>
      <c r="O108">
        <v>818580</v>
      </c>
      <c r="P108">
        <v>818627</v>
      </c>
      <c r="Q108">
        <v>818667</v>
      </c>
      <c r="R108">
        <v>818839</v>
      </c>
      <c r="S108">
        <v>818934</v>
      </c>
      <c r="T108">
        <v>819019</v>
      </c>
      <c r="U108">
        <v>819103</v>
      </c>
      <c r="V108">
        <v>819271</v>
      </c>
      <c r="W108">
        <v>819315</v>
      </c>
      <c r="X108">
        <v>819370</v>
      </c>
      <c r="Y108">
        <v>819445</v>
      </c>
      <c r="Z108">
        <v>819491</v>
      </c>
      <c r="AA108">
        <v>819533</v>
      </c>
      <c r="AB108">
        <v>819706</v>
      </c>
      <c r="AC108">
        <v>819995</v>
      </c>
      <c r="AD108">
        <v>820041</v>
      </c>
      <c r="AE108">
        <v>820088</v>
      </c>
      <c r="AF108">
        <v>820271</v>
      </c>
      <c r="AG108">
        <v>820495</v>
      </c>
      <c r="AH108">
        <v>820568</v>
      </c>
      <c r="AI108">
        <v>820630</v>
      </c>
      <c r="AJ108">
        <v>820670</v>
      </c>
      <c r="AK108">
        <v>820873</v>
      </c>
      <c r="AL108">
        <v>820921</v>
      </c>
      <c r="AM108">
        <v>820957</v>
      </c>
      <c r="AN108">
        <v>821024</v>
      </c>
      <c r="AO108">
        <v>821060</v>
      </c>
      <c r="AP108">
        <v>821288</v>
      </c>
      <c r="AQ108">
        <v>821319</v>
      </c>
      <c r="AR108">
        <v>821356</v>
      </c>
      <c r="AS108">
        <v>821451</v>
      </c>
      <c r="AT108">
        <v>821500</v>
      </c>
      <c r="AU108">
        <v>821710</v>
      </c>
      <c r="AV108">
        <v>821754</v>
      </c>
      <c r="AW108">
        <v>821805</v>
      </c>
      <c r="AX108">
        <v>821885</v>
      </c>
      <c r="AY108">
        <v>821931</v>
      </c>
      <c r="AZ108">
        <v>822143</v>
      </c>
      <c r="BA108">
        <v>822185</v>
      </c>
      <c r="BB108">
        <v>822236</v>
      </c>
      <c r="BC108">
        <v>822306</v>
      </c>
      <c r="BD108">
        <v>822352</v>
      </c>
      <c r="BE108">
        <v>822558</v>
      </c>
      <c r="BF108">
        <v>822647</v>
      </c>
      <c r="BG108">
        <v>822737</v>
      </c>
      <c r="BH108">
        <v>822777</v>
      </c>
      <c r="BI108">
        <v>823003</v>
      </c>
      <c r="BJ108">
        <v>823082</v>
      </c>
    </row>
    <row r="109" spans="1:62" x14ac:dyDescent="0.25">
      <c r="A109">
        <v>1071.4000000000001</v>
      </c>
      <c r="B109">
        <v>1071.4000000000001</v>
      </c>
      <c r="C109">
        <v>1071.4000000000001</v>
      </c>
      <c r="D109">
        <v>1071.4000000000001</v>
      </c>
      <c r="E109">
        <v>1071.4000000000001</v>
      </c>
      <c r="F109">
        <v>1071.4000000000001</v>
      </c>
      <c r="G109">
        <v>1071.4000000000001</v>
      </c>
      <c r="H109">
        <v>1071.4000000000001</v>
      </c>
      <c r="I109">
        <v>1071.4000000000001</v>
      </c>
      <c r="J109">
        <v>1071.4000000000001</v>
      </c>
      <c r="K109">
        <v>1071.4000000000001</v>
      </c>
      <c r="L109">
        <v>1071.4000000000001</v>
      </c>
      <c r="M109">
        <v>1071.4000000000001</v>
      </c>
      <c r="N109">
        <v>1071.4000000000001</v>
      </c>
      <c r="O109">
        <v>1071.4000000000001</v>
      </c>
      <c r="P109">
        <v>1071.4000000000001</v>
      </c>
      <c r="Q109">
        <v>1071.4000000000001</v>
      </c>
      <c r="R109">
        <v>1071.4000000000001</v>
      </c>
      <c r="S109">
        <v>1071.4000000000001</v>
      </c>
      <c r="T109">
        <v>1071.4000000000001</v>
      </c>
      <c r="U109">
        <v>1071.4000000000001</v>
      </c>
      <c r="V109">
        <v>1071.4000000000001</v>
      </c>
      <c r="W109">
        <v>1071.4000000000001</v>
      </c>
      <c r="X109">
        <v>1071.4000000000001</v>
      </c>
      <c r="Y109">
        <v>1071.4000000000001</v>
      </c>
      <c r="Z109">
        <v>1071.4000000000001</v>
      </c>
      <c r="AA109">
        <v>1071.4000000000001</v>
      </c>
      <c r="AB109">
        <v>1071.4000000000001</v>
      </c>
      <c r="AC109">
        <v>1071.4000000000001</v>
      </c>
      <c r="AD109">
        <v>1071.4000000000001</v>
      </c>
      <c r="AE109">
        <v>1071.4000000000001</v>
      </c>
      <c r="AF109">
        <v>1071.4000000000001</v>
      </c>
      <c r="AG109">
        <v>1071.4000000000001</v>
      </c>
      <c r="AH109">
        <v>1071.4000000000001</v>
      </c>
      <c r="AI109">
        <v>1071.4000000000001</v>
      </c>
      <c r="AJ109">
        <v>1071.4000000000001</v>
      </c>
      <c r="AK109">
        <v>1071.4000000000001</v>
      </c>
      <c r="AL109">
        <v>1071.4000000000001</v>
      </c>
      <c r="AM109">
        <v>1071.4000000000001</v>
      </c>
      <c r="AN109">
        <v>1071.4000000000001</v>
      </c>
      <c r="AO109">
        <v>1071.4000000000001</v>
      </c>
      <c r="AP109">
        <v>1071.4000000000001</v>
      </c>
      <c r="AQ109">
        <v>1071.4000000000001</v>
      </c>
      <c r="AR109">
        <v>1071.4000000000001</v>
      </c>
      <c r="AS109">
        <v>1071.4000000000001</v>
      </c>
      <c r="AT109">
        <v>1071.4000000000001</v>
      </c>
      <c r="AU109">
        <v>1071.4000000000001</v>
      </c>
      <c r="AV109">
        <v>1071.4000000000001</v>
      </c>
      <c r="AW109">
        <v>1071.4000000000001</v>
      </c>
      <c r="AX109">
        <v>1071.4000000000001</v>
      </c>
      <c r="AY109">
        <v>1071.4000000000001</v>
      </c>
      <c r="AZ109">
        <v>1071.4000000000001</v>
      </c>
      <c r="BA109">
        <v>1071.4000000000001</v>
      </c>
      <c r="BB109">
        <v>1071.4000000000001</v>
      </c>
      <c r="BC109">
        <v>1071.4000000000001</v>
      </c>
      <c r="BD109">
        <v>1071.4000000000001</v>
      </c>
      <c r="BE109">
        <v>1071.4000000000001</v>
      </c>
      <c r="BF109">
        <v>1071.4000000000001</v>
      </c>
      <c r="BG109">
        <v>1071.4000000000001</v>
      </c>
      <c r="BH109">
        <v>1071.4000000000001</v>
      </c>
      <c r="BI109">
        <v>1071.4000000000001</v>
      </c>
      <c r="BJ109">
        <v>1071.4000000000001</v>
      </c>
    </row>
    <row r="110" spans="1:62" x14ac:dyDescent="0.25">
      <c r="A110">
        <v>1067.4000000000001</v>
      </c>
      <c r="B110">
        <v>1067.4000000000001</v>
      </c>
      <c r="C110">
        <v>1067.4000000000001</v>
      </c>
      <c r="D110">
        <v>1067.4000000000001</v>
      </c>
      <c r="E110">
        <v>1067.4000000000001</v>
      </c>
      <c r="F110">
        <v>1067.4000000000001</v>
      </c>
      <c r="G110">
        <v>1067.4000000000001</v>
      </c>
      <c r="H110">
        <v>1067.4000000000001</v>
      </c>
      <c r="I110">
        <v>1067.4000000000001</v>
      </c>
      <c r="J110">
        <v>1067.4000000000001</v>
      </c>
      <c r="K110">
        <v>1067.4000000000001</v>
      </c>
      <c r="L110">
        <v>1067.4000000000001</v>
      </c>
      <c r="M110">
        <v>1067.4000000000001</v>
      </c>
      <c r="N110">
        <v>1067.4000000000001</v>
      </c>
      <c r="O110">
        <v>1067.4000000000001</v>
      </c>
      <c r="P110">
        <v>1067.4000000000001</v>
      </c>
      <c r="Q110">
        <v>1067.4000000000001</v>
      </c>
      <c r="R110">
        <v>1067.4000000000001</v>
      </c>
      <c r="S110">
        <v>1067.4000000000001</v>
      </c>
      <c r="T110">
        <v>1067.4000000000001</v>
      </c>
      <c r="U110">
        <v>1067.4000000000001</v>
      </c>
      <c r="V110">
        <v>1067.4000000000001</v>
      </c>
      <c r="W110">
        <v>1067.4000000000001</v>
      </c>
      <c r="X110">
        <v>1067.4000000000001</v>
      </c>
      <c r="Y110">
        <v>1067.4000000000001</v>
      </c>
      <c r="Z110">
        <v>1067.4000000000001</v>
      </c>
      <c r="AA110">
        <v>1067.4000000000001</v>
      </c>
      <c r="AB110">
        <v>1067.4000000000001</v>
      </c>
      <c r="AC110">
        <v>1067.4000000000001</v>
      </c>
      <c r="AD110">
        <v>1067.4000000000001</v>
      </c>
      <c r="AE110">
        <v>1067.4000000000001</v>
      </c>
      <c r="AF110">
        <v>1067.4000000000001</v>
      </c>
      <c r="AG110">
        <v>1067.4000000000001</v>
      </c>
      <c r="AH110">
        <v>1067.4000000000001</v>
      </c>
      <c r="AI110">
        <v>1067.4000000000001</v>
      </c>
      <c r="AJ110">
        <v>1067.4000000000001</v>
      </c>
      <c r="AK110">
        <v>1067.4000000000001</v>
      </c>
      <c r="AL110">
        <v>1067.4000000000001</v>
      </c>
      <c r="AM110">
        <v>1067.4000000000001</v>
      </c>
      <c r="AN110">
        <v>1067.4000000000001</v>
      </c>
      <c r="AO110">
        <v>1067.4000000000001</v>
      </c>
      <c r="AP110">
        <v>1067.4000000000001</v>
      </c>
      <c r="AQ110">
        <v>1067.4000000000001</v>
      </c>
      <c r="AR110">
        <v>1067.4000000000001</v>
      </c>
      <c r="AS110">
        <v>1067.4000000000001</v>
      </c>
      <c r="AT110">
        <v>1067.4000000000001</v>
      </c>
      <c r="AU110">
        <v>1067.4000000000001</v>
      </c>
      <c r="AV110">
        <v>1067.4000000000001</v>
      </c>
      <c r="AW110">
        <v>1067.4000000000001</v>
      </c>
      <c r="AX110">
        <v>1067.4000000000001</v>
      </c>
      <c r="AY110">
        <v>1067.4000000000001</v>
      </c>
      <c r="AZ110">
        <v>1067.4000000000001</v>
      </c>
      <c r="BA110">
        <v>1067.4000000000001</v>
      </c>
      <c r="BB110">
        <v>1067.4000000000001</v>
      </c>
      <c r="BC110">
        <v>1067.4000000000001</v>
      </c>
      <c r="BD110">
        <v>1067.4000000000001</v>
      </c>
      <c r="BE110">
        <v>1067.4000000000001</v>
      </c>
      <c r="BF110">
        <v>1067.4000000000001</v>
      </c>
      <c r="BG110">
        <v>1067.4000000000001</v>
      </c>
      <c r="BH110">
        <v>1067.4000000000001</v>
      </c>
      <c r="BI110">
        <v>1067.4000000000001</v>
      </c>
      <c r="BJ110">
        <v>1067.4000000000001</v>
      </c>
    </row>
    <row r="111" spans="1:62" x14ac:dyDescent="0.25">
      <c r="A111">
        <v>1075.4000000000001</v>
      </c>
      <c r="B111">
        <v>1075.4000000000001</v>
      </c>
      <c r="C111">
        <v>1075.4000000000001</v>
      </c>
      <c r="D111">
        <v>1075.4000000000001</v>
      </c>
      <c r="E111">
        <v>1075.4000000000001</v>
      </c>
      <c r="F111">
        <v>1075.4000000000001</v>
      </c>
      <c r="G111">
        <v>1075.4000000000001</v>
      </c>
      <c r="H111">
        <v>1075.4000000000001</v>
      </c>
      <c r="I111">
        <v>1075.4000000000001</v>
      </c>
      <c r="J111">
        <v>1075.4000000000001</v>
      </c>
      <c r="K111">
        <v>1075.4000000000001</v>
      </c>
      <c r="L111">
        <v>1075.4000000000001</v>
      </c>
      <c r="M111">
        <v>1075.4000000000001</v>
      </c>
      <c r="N111">
        <v>1075.4000000000001</v>
      </c>
      <c r="O111">
        <v>1075.4000000000001</v>
      </c>
      <c r="P111">
        <v>1075.4000000000001</v>
      </c>
      <c r="Q111">
        <v>1075.4000000000001</v>
      </c>
      <c r="R111">
        <v>1075.4000000000001</v>
      </c>
      <c r="S111">
        <v>1075.4000000000001</v>
      </c>
      <c r="T111">
        <v>1075.4000000000001</v>
      </c>
      <c r="U111">
        <v>1075.4000000000001</v>
      </c>
      <c r="V111">
        <v>1075.4000000000001</v>
      </c>
      <c r="W111">
        <v>1075.4000000000001</v>
      </c>
      <c r="X111">
        <v>1075.4000000000001</v>
      </c>
      <c r="Y111">
        <v>1075.4000000000001</v>
      </c>
      <c r="Z111">
        <v>1075.4000000000001</v>
      </c>
      <c r="AA111">
        <v>1075.4000000000001</v>
      </c>
      <c r="AB111">
        <v>1075.4000000000001</v>
      </c>
      <c r="AC111">
        <v>1075.4000000000001</v>
      </c>
      <c r="AD111">
        <v>1075.4000000000001</v>
      </c>
      <c r="AE111">
        <v>1075.4000000000001</v>
      </c>
      <c r="AF111">
        <v>1075.4000000000001</v>
      </c>
      <c r="AG111">
        <v>1075.4000000000001</v>
      </c>
      <c r="AH111">
        <v>1075.4000000000001</v>
      </c>
      <c r="AI111">
        <v>1075.4000000000001</v>
      </c>
      <c r="AJ111">
        <v>1075.4000000000001</v>
      </c>
      <c r="AK111">
        <v>1075.4000000000001</v>
      </c>
      <c r="AL111">
        <v>1075.4000000000001</v>
      </c>
      <c r="AM111">
        <v>1075.4000000000001</v>
      </c>
      <c r="AN111">
        <v>1075.4000000000001</v>
      </c>
      <c r="AO111">
        <v>1075.4000000000001</v>
      </c>
      <c r="AP111">
        <v>1075.4000000000001</v>
      </c>
      <c r="AQ111">
        <v>1075.4000000000001</v>
      </c>
      <c r="AR111">
        <v>1075.4000000000001</v>
      </c>
      <c r="AS111">
        <v>1075.4000000000001</v>
      </c>
      <c r="AT111">
        <v>1075.4000000000001</v>
      </c>
      <c r="AU111">
        <v>1075.4000000000001</v>
      </c>
      <c r="AV111">
        <v>1075.4000000000001</v>
      </c>
      <c r="AW111">
        <v>1075.4000000000001</v>
      </c>
      <c r="AX111">
        <v>1075.4000000000001</v>
      </c>
      <c r="AY111">
        <v>1075.4000000000001</v>
      </c>
      <c r="AZ111">
        <v>1075.4000000000001</v>
      </c>
      <c r="BA111">
        <v>1075.4000000000001</v>
      </c>
      <c r="BB111">
        <v>1075.4000000000001</v>
      </c>
      <c r="BC111">
        <v>1075.4000000000001</v>
      </c>
      <c r="BD111">
        <v>1075.4000000000001</v>
      </c>
      <c r="BE111">
        <v>1075.4000000000001</v>
      </c>
      <c r="BF111">
        <v>1075.4000000000001</v>
      </c>
      <c r="BG111">
        <v>1075.4000000000001</v>
      </c>
      <c r="BH111">
        <v>1075.4000000000001</v>
      </c>
      <c r="BI111">
        <v>1075.4000000000001</v>
      </c>
      <c r="BJ111">
        <v>1075.4000000000001</v>
      </c>
    </row>
    <row r="112" spans="1:62" x14ac:dyDescent="0.25">
      <c r="A112">
        <v>1069.8599999999999</v>
      </c>
      <c r="B112">
        <v>1070.52</v>
      </c>
      <c r="C112">
        <v>1070.2</v>
      </c>
      <c r="D112">
        <v>1071</v>
      </c>
      <c r="E112">
        <v>1069.9000000000001</v>
      </c>
      <c r="F112">
        <v>1070.5999999999999</v>
      </c>
      <c r="G112">
        <v>1069.0999999999999</v>
      </c>
      <c r="H112">
        <v>1070.7</v>
      </c>
      <c r="I112">
        <v>1070.5999999999999</v>
      </c>
      <c r="J112">
        <v>1070.69</v>
      </c>
      <c r="K112">
        <v>1070.25</v>
      </c>
      <c r="L112">
        <v>1070.74</v>
      </c>
      <c r="M112">
        <v>1070.43</v>
      </c>
      <c r="N112">
        <v>1070.06</v>
      </c>
      <c r="O112">
        <v>1070.1199999999999</v>
      </c>
      <c r="P112">
        <v>1070.31</v>
      </c>
      <c r="Q112">
        <v>1070.3</v>
      </c>
      <c r="R112">
        <v>1070.54</v>
      </c>
      <c r="S112">
        <v>1070</v>
      </c>
      <c r="T112">
        <v>1070.9000000000001</v>
      </c>
      <c r="U112">
        <v>1071.0999999999999</v>
      </c>
      <c r="V112">
        <v>1069.68</v>
      </c>
      <c r="W112">
        <v>1070.4000000000001</v>
      </c>
      <c r="X112">
        <v>1070.8</v>
      </c>
      <c r="Y112">
        <v>1070.7</v>
      </c>
      <c r="Z112">
        <v>1070.4000000000001</v>
      </c>
      <c r="AA112">
        <v>1070.53</v>
      </c>
      <c r="AB112">
        <v>1070.43</v>
      </c>
      <c r="AC112">
        <v>1070.5999999999999</v>
      </c>
      <c r="AD112">
        <v>1070.68</v>
      </c>
      <c r="AE112">
        <v>1070.55</v>
      </c>
      <c r="AF112">
        <v>1070.5</v>
      </c>
      <c r="AG112">
        <v>1069.98</v>
      </c>
      <c r="AH112">
        <v>1070.58</v>
      </c>
      <c r="AI112">
        <v>1070.5</v>
      </c>
      <c r="AJ112">
        <v>1070.3800000000001</v>
      </c>
      <c r="AK112">
        <v>1069.96</v>
      </c>
      <c r="AL112">
        <v>1070.3599999999999</v>
      </c>
      <c r="AM112">
        <v>1069.98</v>
      </c>
      <c r="AN112">
        <v>1070.03</v>
      </c>
      <c r="AO112">
        <v>1070.43</v>
      </c>
      <c r="AP112">
        <v>1070.4100000000001</v>
      </c>
      <c r="AQ112">
        <v>1070.6600000000001</v>
      </c>
      <c r="AR112">
        <v>1070.93</v>
      </c>
      <c r="AS112">
        <v>1070.72</v>
      </c>
      <c r="AT112">
        <v>1071</v>
      </c>
      <c r="AU112">
        <v>1069.8800000000001</v>
      </c>
      <c r="AV112">
        <v>1070.5999999999999</v>
      </c>
      <c r="AW112">
        <v>1070.5</v>
      </c>
      <c r="AX112">
        <v>1070.43</v>
      </c>
      <c r="AY112">
        <v>1070.67</v>
      </c>
      <c r="AZ112">
        <v>1070.04</v>
      </c>
      <c r="BA112">
        <v>1070.47</v>
      </c>
      <c r="BB112">
        <v>1070.78</v>
      </c>
      <c r="BC112">
        <v>1070.73</v>
      </c>
      <c r="BD112">
        <v>1070.8499999999999</v>
      </c>
      <c r="BE112">
        <v>1071.31</v>
      </c>
      <c r="BF112">
        <v>1070.8</v>
      </c>
      <c r="BG112">
        <v>1070.05</v>
      </c>
      <c r="BH112">
        <v>1070.23</v>
      </c>
      <c r="BI112">
        <v>1070.1199999999999</v>
      </c>
      <c r="BJ112">
        <v>1070.49</v>
      </c>
    </row>
    <row r="113" spans="1:62" x14ac:dyDescent="0.25">
      <c r="A113" t="s">
        <v>29</v>
      </c>
      <c r="B113" t="s">
        <v>30</v>
      </c>
      <c r="C113" t="s">
        <v>53</v>
      </c>
      <c r="D113" t="s">
        <v>54</v>
      </c>
      <c r="E113" t="s">
        <v>65</v>
      </c>
      <c r="F113" t="s">
        <v>66</v>
      </c>
      <c r="G113" t="s">
        <v>23</v>
      </c>
      <c r="H113">
        <v>62</v>
      </c>
    </row>
    <row r="114" spans="1:62" x14ac:dyDescent="0.25">
      <c r="A114" s="3">
        <v>46169</v>
      </c>
      <c r="B114" s="3">
        <v>46169</v>
      </c>
      <c r="C114" s="3">
        <v>46169</v>
      </c>
      <c r="D114" s="3">
        <v>46169</v>
      </c>
      <c r="E114" s="3">
        <v>46170</v>
      </c>
      <c r="F114" s="3">
        <v>46170</v>
      </c>
      <c r="G114" s="3">
        <v>46171</v>
      </c>
      <c r="H114" s="3">
        <v>46171</v>
      </c>
      <c r="I114" s="3">
        <v>46171</v>
      </c>
      <c r="J114" s="3">
        <v>46171</v>
      </c>
      <c r="K114" s="3">
        <v>46172</v>
      </c>
      <c r="L114" s="3">
        <v>46172</v>
      </c>
      <c r="M114" s="3">
        <v>46172</v>
      </c>
      <c r="N114" s="3">
        <v>46174</v>
      </c>
      <c r="O114" s="3">
        <v>46174</v>
      </c>
      <c r="P114" s="3">
        <v>46174</v>
      </c>
      <c r="Q114" s="3">
        <v>46174</v>
      </c>
      <c r="R114" s="3">
        <v>46175</v>
      </c>
      <c r="S114" s="3">
        <v>46175</v>
      </c>
      <c r="T114" s="3">
        <v>46175</v>
      </c>
      <c r="U114" s="3">
        <v>46176</v>
      </c>
      <c r="V114" s="3">
        <v>46176</v>
      </c>
      <c r="W114" s="3">
        <v>46176</v>
      </c>
      <c r="X114" s="3">
        <v>46176</v>
      </c>
      <c r="Y114" s="3">
        <v>46176</v>
      </c>
      <c r="Z114" s="3">
        <v>46176</v>
      </c>
      <c r="AA114" s="3">
        <v>46176</v>
      </c>
      <c r="AB114" s="3">
        <v>46177</v>
      </c>
      <c r="AC114" s="3">
        <v>46178</v>
      </c>
      <c r="AD114" s="3">
        <v>46178</v>
      </c>
      <c r="AE114" s="3">
        <v>46178</v>
      </c>
      <c r="AF114" s="3">
        <v>46179</v>
      </c>
      <c r="AG114" s="3">
        <v>46180</v>
      </c>
      <c r="AH114" s="3">
        <v>46180</v>
      </c>
      <c r="AI114" s="3">
        <v>46180</v>
      </c>
      <c r="AJ114" s="3">
        <v>46180</v>
      </c>
      <c r="AK114" s="3">
        <v>46181</v>
      </c>
      <c r="AL114" s="3">
        <v>46181</v>
      </c>
      <c r="AM114" s="3">
        <v>46181</v>
      </c>
      <c r="AN114" s="3">
        <v>46181</v>
      </c>
      <c r="AO114" s="3">
        <v>46181</v>
      </c>
      <c r="AP114" s="3">
        <v>46182</v>
      </c>
      <c r="AQ114" s="3">
        <v>46182</v>
      </c>
      <c r="AR114" s="3">
        <v>46182</v>
      </c>
      <c r="AS114" s="3">
        <v>46182</v>
      </c>
      <c r="AT114" s="3">
        <v>46182</v>
      </c>
      <c r="AU114" s="3">
        <v>46183</v>
      </c>
      <c r="AV114" s="3">
        <v>46183</v>
      </c>
      <c r="AW114" s="3">
        <v>46183</v>
      </c>
      <c r="AX114" s="3">
        <v>46183</v>
      </c>
      <c r="AY114" s="3">
        <v>46183</v>
      </c>
      <c r="AZ114" s="3">
        <v>46184</v>
      </c>
      <c r="BA114" s="3">
        <v>46184</v>
      </c>
      <c r="BB114" s="3">
        <v>46184</v>
      </c>
      <c r="BC114" s="3">
        <v>46184</v>
      </c>
      <c r="BD114" s="3">
        <v>46184</v>
      </c>
      <c r="BE114" s="3">
        <v>46185</v>
      </c>
      <c r="BF114" s="3">
        <v>46185</v>
      </c>
      <c r="BG114" s="3">
        <v>46185</v>
      </c>
      <c r="BH114" s="3">
        <v>46185</v>
      </c>
      <c r="BI114" s="3">
        <v>46186</v>
      </c>
      <c r="BJ114" s="3">
        <v>46186</v>
      </c>
    </row>
    <row r="115" spans="1:62" x14ac:dyDescent="0.25">
      <c r="A115">
        <v>816948</v>
      </c>
      <c r="B115">
        <v>816987</v>
      </c>
      <c r="C115">
        <v>816998</v>
      </c>
      <c r="D115">
        <v>817092</v>
      </c>
      <c r="E115">
        <v>817353</v>
      </c>
      <c r="F115">
        <v>817441</v>
      </c>
      <c r="G115">
        <v>817773</v>
      </c>
      <c r="H115">
        <v>817861</v>
      </c>
      <c r="I115">
        <v>817943</v>
      </c>
      <c r="J115">
        <v>817985</v>
      </c>
      <c r="K115">
        <v>818214</v>
      </c>
      <c r="L115">
        <v>818254</v>
      </c>
      <c r="M115">
        <v>818291</v>
      </c>
      <c r="N115">
        <v>818439</v>
      </c>
      <c r="O115">
        <v>818580</v>
      </c>
      <c r="P115">
        <v>818627</v>
      </c>
      <c r="Q115">
        <v>818667</v>
      </c>
      <c r="R115">
        <v>818839</v>
      </c>
      <c r="S115">
        <v>818934</v>
      </c>
      <c r="T115">
        <v>819019</v>
      </c>
      <c r="U115">
        <v>819103</v>
      </c>
      <c r="V115">
        <v>819271</v>
      </c>
      <c r="W115">
        <v>819315</v>
      </c>
      <c r="X115">
        <v>819370</v>
      </c>
      <c r="Y115">
        <v>819445</v>
      </c>
      <c r="Z115">
        <v>819491</v>
      </c>
      <c r="AA115">
        <v>819533</v>
      </c>
      <c r="AB115">
        <v>819706</v>
      </c>
      <c r="AC115">
        <v>819995</v>
      </c>
      <c r="AD115">
        <v>820041</v>
      </c>
      <c r="AE115">
        <v>820088</v>
      </c>
      <c r="AF115">
        <v>820271</v>
      </c>
      <c r="AG115">
        <v>820495</v>
      </c>
      <c r="AH115">
        <v>820568</v>
      </c>
      <c r="AI115">
        <v>820630</v>
      </c>
      <c r="AJ115">
        <v>820670</v>
      </c>
      <c r="AK115">
        <v>820873</v>
      </c>
      <c r="AL115">
        <v>820921</v>
      </c>
      <c r="AM115">
        <v>820957</v>
      </c>
      <c r="AN115">
        <v>821024</v>
      </c>
      <c r="AO115">
        <v>821060</v>
      </c>
      <c r="AP115">
        <v>821288</v>
      </c>
      <c r="AQ115">
        <v>821319</v>
      </c>
      <c r="AR115">
        <v>821356</v>
      </c>
      <c r="AS115">
        <v>821451</v>
      </c>
      <c r="AT115">
        <v>821500</v>
      </c>
      <c r="AU115">
        <v>821710</v>
      </c>
      <c r="AV115">
        <v>821754</v>
      </c>
      <c r="AW115">
        <v>821805</v>
      </c>
      <c r="AX115">
        <v>821885</v>
      </c>
      <c r="AY115">
        <v>821931</v>
      </c>
      <c r="AZ115">
        <v>822143</v>
      </c>
      <c r="BA115">
        <v>822185</v>
      </c>
      <c r="BB115">
        <v>822236</v>
      </c>
      <c r="BC115">
        <v>822306</v>
      </c>
      <c r="BD115">
        <v>822352</v>
      </c>
      <c r="BE115">
        <v>822558</v>
      </c>
      <c r="BF115">
        <v>822647</v>
      </c>
      <c r="BG115">
        <v>822737</v>
      </c>
      <c r="BH115">
        <v>822777</v>
      </c>
      <c r="BI115">
        <v>823003</v>
      </c>
      <c r="BJ115">
        <v>823082</v>
      </c>
    </row>
    <row r="116" spans="1:62" x14ac:dyDescent="0.25">
      <c r="A116">
        <v>1527.1</v>
      </c>
      <c r="B116">
        <v>1527.1</v>
      </c>
      <c r="C116">
        <v>1527.1</v>
      </c>
      <c r="D116">
        <v>1527.1</v>
      </c>
      <c r="E116">
        <v>1527.1</v>
      </c>
      <c r="F116">
        <v>1527.1</v>
      </c>
      <c r="G116">
        <v>1527.1</v>
      </c>
      <c r="H116">
        <v>1527.1</v>
      </c>
      <c r="I116">
        <v>1527.1</v>
      </c>
      <c r="J116">
        <v>1527.1</v>
      </c>
      <c r="K116">
        <v>1527.1</v>
      </c>
      <c r="L116">
        <v>1527.1</v>
      </c>
      <c r="M116">
        <v>1527.1</v>
      </c>
      <c r="N116">
        <v>1527.1</v>
      </c>
      <c r="O116">
        <v>1527.1</v>
      </c>
      <c r="P116">
        <v>1527.1</v>
      </c>
      <c r="Q116">
        <v>1527.1</v>
      </c>
      <c r="R116">
        <v>1527.1</v>
      </c>
      <c r="S116">
        <v>1527.1</v>
      </c>
      <c r="T116">
        <v>1527.1</v>
      </c>
      <c r="U116">
        <v>1527.1</v>
      </c>
      <c r="V116">
        <v>1527.1</v>
      </c>
      <c r="W116">
        <v>1527.1</v>
      </c>
      <c r="X116">
        <v>1527.1</v>
      </c>
      <c r="Y116">
        <v>1527.1</v>
      </c>
      <c r="Z116">
        <v>1527.1</v>
      </c>
      <c r="AA116">
        <v>1527.1</v>
      </c>
      <c r="AB116">
        <v>1527.1</v>
      </c>
      <c r="AC116">
        <v>1527.1</v>
      </c>
      <c r="AD116">
        <v>1527.1</v>
      </c>
      <c r="AE116">
        <v>1527.1</v>
      </c>
      <c r="AF116">
        <v>1527.1</v>
      </c>
      <c r="AG116">
        <v>1527.1</v>
      </c>
      <c r="AH116">
        <v>1527.1</v>
      </c>
      <c r="AI116">
        <v>1527.1</v>
      </c>
      <c r="AJ116">
        <v>1527.1</v>
      </c>
      <c r="AK116">
        <v>1527.1</v>
      </c>
      <c r="AL116">
        <v>1527.1</v>
      </c>
      <c r="AM116">
        <v>1527.1</v>
      </c>
      <c r="AN116">
        <v>1527.1</v>
      </c>
      <c r="AO116">
        <v>1527.1</v>
      </c>
      <c r="AP116">
        <v>1527.1</v>
      </c>
      <c r="AQ116">
        <v>1527.1</v>
      </c>
      <c r="AR116">
        <v>1527.1</v>
      </c>
      <c r="AS116">
        <v>1527.1</v>
      </c>
      <c r="AT116">
        <v>1527.1</v>
      </c>
      <c r="AU116">
        <v>1527.1</v>
      </c>
      <c r="AV116">
        <v>1527.1</v>
      </c>
      <c r="AW116">
        <v>1527.1</v>
      </c>
      <c r="AX116">
        <v>1527.1</v>
      </c>
      <c r="AY116">
        <v>1527.1</v>
      </c>
      <c r="AZ116">
        <v>1527.1</v>
      </c>
      <c r="BA116">
        <v>1527.1</v>
      </c>
      <c r="BB116">
        <v>1527.1</v>
      </c>
      <c r="BC116">
        <v>1527.1</v>
      </c>
      <c r="BD116">
        <v>1527.1</v>
      </c>
      <c r="BE116">
        <v>1527.1</v>
      </c>
      <c r="BF116">
        <v>1527.1</v>
      </c>
      <c r="BG116">
        <v>1527.1</v>
      </c>
      <c r="BH116">
        <v>1527.1</v>
      </c>
      <c r="BI116">
        <v>1527.1</v>
      </c>
      <c r="BJ116">
        <v>1527.1</v>
      </c>
    </row>
    <row r="117" spans="1:62" x14ac:dyDescent="0.25">
      <c r="A117">
        <v>1523.1</v>
      </c>
      <c r="B117">
        <v>1523.1</v>
      </c>
      <c r="C117">
        <v>1523.1</v>
      </c>
      <c r="D117">
        <v>1523.1</v>
      </c>
      <c r="E117">
        <v>1523.1</v>
      </c>
      <c r="F117">
        <v>1523.1</v>
      </c>
      <c r="G117">
        <v>1523.1</v>
      </c>
      <c r="H117">
        <v>1523.1</v>
      </c>
      <c r="I117">
        <v>1523.1</v>
      </c>
      <c r="J117">
        <v>1523.1</v>
      </c>
      <c r="K117">
        <v>1523.1</v>
      </c>
      <c r="L117">
        <v>1523.1</v>
      </c>
      <c r="M117">
        <v>1523.1</v>
      </c>
      <c r="N117">
        <v>1523.1</v>
      </c>
      <c r="O117">
        <v>1523.1</v>
      </c>
      <c r="P117">
        <v>1523.1</v>
      </c>
      <c r="Q117">
        <v>1523.1</v>
      </c>
      <c r="R117">
        <v>1523.1</v>
      </c>
      <c r="S117">
        <v>1523.1</v>
      </c>
      <c r="T117">
        <v>1523.1</v>
      </c>
      <c r="U117">
        <v>1523.1</v>
      </c>
      <c r="V117">
        <v>1523.1</v>
      </c>
      <c r="W117">
        <v>1523.1</v>
      </c>
      <c r="X117">
        <v>1523.1</v>
      </c>
      <c r="Y117">
        <v>1523.1</v>
      </c>
      <c r="Z117">
        <v>1523.1</v>
      </c>
      <c r="AA117">
        <v>1523.1</v>
      </c>
      <c r="AB117">
        <v>1523.1</v>
      </c>
      <c r="AC117">
        <v>1523.1</v>
      </c>
      <c r="AD117">
        <v>1523.1</v>
      </c>
      <c r="AE117">
        <v>1523.1</v>
      </c>
      <c r="AF117">
        <v>1523.1</v>
      </c>
      <c r="AG117">
        <v>1523.1</v>
      </c>
      <c r="AH117">
        <v>1523.1</v>
      </c>
      <c r="AI117">
        <v>1523.1</v>
      </c>
      <c r="AJ117">
        <v>1523.1</v>
      </c>
      <c r="AK117">
        <v>1523.1</v>
      </c>
      <c r="AL117">
        <v>1523.1</v>
      </c>
      <c r="AM117">
        <v>1523.1</v>
      </c>
      <c r="AN117">
        <v>1523.1</v>
      </c>
      <c r="AO117">
        <v>1523.1</v>
      </c>
      <c r="AP117">
        <v>1523.1</v>
      </c>
      <c r="AQ117">
        <v>1523.1</v>
      </c>
      <c r="AR117">
        <v>1523.1</v>
      </c>
      <c r="AS117">
        <v>1523.1</v>
      </c>
      <c r="AT117">
        <v>1523.1</v>
      </c>
      <c r="AU117">
        <v>1523.1</v>
      </c>
      <c r="AV117">
        <v>1523.1</v>
      </c>
      <c r="AW117">
        <v>1523.1</v>
      </c>
      <c r="AX117">
        <v>1523.1</v>
      </c>
      <c r="AY117">
        <v>1523.1</v>
      </c>
      <c r="AZ117">
        <v>1523.1</v>
      </c>
      <c r="BA117">
        <v>1523.1</v>
      </c>
      <c r="BB117">
        <v>1523.1</v>
      </c>
      <c r="BC117">
        <v>1523.1</v>
      </c>
      <c r="BD117">
        <v>1523.1</v>
      </c>
      <c r="BE117">
        <v>1523.1</v>
      </c>
      <c r="BF117">
        <v>1523.1</v>
      </c>
      <c r="BG117">
        <v>1523.1</v>
      </c>
      <c r="BH117">
        <v>1523.1</v>
      </c>
      <c r="BI117">
        <v>1523.1</v>
      </c>
      <c r="BJ117">
        <v>1523.1</v>
      </c>
    </row>
    <row r="118" spans="1:62" x14ac:dyDescent="0.25">
      <c r="A118">
        <v>1531.1</v>
      </c>
      <c r="B118">
        <v>1531.1</v>
      </c>
      <c r="C118">
        <v>1531.1</v>
      </c>
      <c r="D118">
        <v>1531.1</v>
      </c>
      <c r="E118">
        <v>1531.1</v>
      </c>
      <c r="F118">
        <v>1531.1</v>
      </c>
      <c r="G118">
        <v>1531.1</v>
      </c>
      <c r="H118">
        <v>1531.1</v>
      </c>
      <c r="I118">
        <v>1531.1</v>
      </c>
      <c r="J118">
        <v>1531.1</v>
      </c>
      <c r="K118">
        <v>1531.1</v>
      </c>
      <c r="L118">
        <v>1531.1</v>
      </c>
      <c r="M118">
        <v>1531.1</v>
      </c>
      <c r="N118">
        <v>1531.1</v>
      </c>
      <c r="O118">
        <v>1531.1</v>
      </c>
      <c r="P118">
        <v>1531.1</v>
      </c>
      <c r="Q118">
        <v>1531.1</v>
      </c>
      <c r="R118">
        <v>1531.1</v>
      </c>
      <c r="S118">
        <v>1531.1</v>
      </c>
      <c r="T118">
        <v>1531.1</v>
      </c>
      <c r="U118">
        <v>1531.1</v>
      </c>
      <c r="V118">
        <v>1531.1</v>
      </c>
      <c r="W118">
        <v>1531.1</v>
      </c>
      <c r="X118">
        <v>1531.1</v>
      </c>
      <c r="Y118">
        <v>1531.1</v>
      </c>
      <c r="Z118">
        <v>1531.1</v>
      </c>
      <c r="AA118">
        <v>1531.1</v>
      </c>
      <c r="AB118">
        <v>1531.1</v>
      </c>
      <c r="AC118">
        <v>1531.1</v>
      </c>
      <c r="AD118">
        <v>1531.1</v>
      </c>
      <c r="AE118">
        <v>1531.1</v>
      </c>
      <c r="AF118">
        <v>1531.1</v>
      </c>
      <c r="AG118">
        <v>1531.1</v>
      </c>
      <c r="AH118">
        <v>1531.1</v>
      </c>
      <c r="AI118">
        <v>1531.1</v>
      </c>
      <c r="AJ118">
        <v>1531.1</v>
      </c>
      <c r="AK118">
        <v>1531.1</v>
      </c>
      <c r="AL118">
        <v>1531.1</v>
      </c>
      <c r="AM118">
        <v>1531.1</v>
      </c>
      <c r="AN118">
        <v>1531.1</v>
      </c>
      <c r="AO118">
        <v>1531.1</v>
      </c>
      <c r="AP118">
        <v>1531.1</v>
      </c>
      <c r="AQ118">
        <v>1531.1</v>
      </c>
      <c r="AR118">
        <v>1531.1</v>
      </c>
      <c r="AS118">
        <v>1531.1</v>
      </c>
      <c r="AT118">
        <v>1531.1</v>
      </c>
      <c r="AU118">
        <v>1531.1</v>
      </c>
      <c r="AV118">
        <v>1531.1</v>
      </c>
      <c r="AW118">
        <v>1531.1</v>
      </c>
      <c r="AX118">
        <v>1531.1</v>
      </c>
      <c r="AY118">
        <v>1531.1</v>
      </c>
      <c r="AZ118">
        <v>1531.1</v>
      </c>
      <c r="BA118">
        <v>1531.1</v>
      </c>
      <c r="BB118">
        <v>1531.1</v>
      </c>
      <c r="BC118">
        <v>1531.1</v>
      </c>
      <c r="BD118">
        <v>1531.1</v>
      </c>
      <c r="BE118">
        <v>1531.1</v>
      </c>
      <c r="BF118">
        <v>1531.1</v>
      </c>
      <c r="BG118">
        <v>1531.1</v>
      </c>
      <c r="BH118">
        <v>1531.1</v>
      </c>
      <c r="BI118">
        <v>1531.1</v>
      </c>
      <c r="BJ118">
        <v>1531.1</v>
      </c>
    </row>
    <row r="119" spans="1:62" x14ac:dyDescent="0.25">
      <c r="A119">
        <v>1526.28</v>
      </c>
      <c r="B119">
        <v>1526.9</v>
      </c>
      <c r="C119">
        <v>1526.68</v>
      </c>
      <c r="D119">
        <v>1526.7</v>
      </c>
      <c r="E119">
        <v>1526.1</v>
      </c>
      <c r="F119">
        <v>1526.8</v>
      </c>
      <c r="G119">
        <v>1526.2</v>
      </c>
      <c r="H119">
        <v>1526.9</v>
      </c>
      <c r="I119">
        <v>1527</v>
      </c>
      <c r="J119">
        <v>1526.75</v>
      </c>
      <c r="K119">
        <v>1526.12</v>
      </c>
      <c r="L119">
        <v>1527.03</v>
      </c>
      <c r="M119">
        <v>1526.78</v>
      </c>
      <c r="N119">
        <v>1526.68</v>
      </c>
      <c r="O119">
        <v>1526.51</v>
      </c>
      <c r="P119">
        <v>1526.57</v>
      </c>
      <c r="Q119">
        <v>1526.68</v>
      </c>
      <c r="R119">
        <v>1526.49</v>
      </c>
      <c r="S119">
        <v>1526.6</v>
      </c>
      <c r="T119">
        <v>1526.6</v>
      </c>
      <c r="U119">
        <v>1526.8</v>
      </c>
      <c r="V119">
        <v>1526.76</v>
      </c>
      <c r="W119">
        <v>1526.9</v>
      </c>
      <c r="X119">
        <v>1526.7</v>
      </c>
      <c r="Y119">
        <v>1527.1</v>
      </c>
      <c r="Z119">
        <v>1526.52</v>
      </c>
      <c r="AA119">
        <v>1526.66</v>
      </c>
      <c r="AB119">
        <v>1526.15</v>
      </c>
      <c r="AC119">
        <v>1526.46</v>
      </c>
      <c r="AD119">
        <v>1526.44</v>
      </c>
      <c r="AE119">
        <v>1526.76</v>
      </c>
      <c r="AF119">
        <v>1526.2</v>
      </c>
      <c r="AG119">
        <v>1526.47</v>
      </c>
      <c r="AH119">
        <v>1526.61</v>
      </c>
      <c r="AI119">
        <v>1526.6</v>
      </c>
      <c r="AJ119">
        <v>1526.76</v>
      </c>
      <c r="AK119">
        <v>1526.27</v>
      </c>
      <c r="AL119">
        <v>1526.49</v>
      </c>
      <c r="AM119">
        <v>1526.33</v>
      </c>
      <c r="AN119">
        <v>1526.48</v>
      </c>
      <c r="AO119">
        <v>1526.55</v>
      </c>
      <c r="AP119">
        <v>1527</v>
      </c>
      <c r="AQ119">
        <v>1526.56</v>
      </c>
      <c r="AR119">
        <v>1527.02</v>
      </c>
      <c r="AS119">
        <v>1527.01</v>
      </c>
      <c r="AT119">
        <v>1526.68</v>
      </c>
      <c r="AU119">
        <v>1526.03</v>
      </c>
      <c r="AV119">
        <v>1526.91</v>
      </c>
      <c r="AW119">
        <v>1526.4</v>
      </c>
      <c r="AX119">
        <v>1526.92</v>
      </c>
      <c r="AY119">
        <v>1527</v>
      </c>
      <c r="AZ119">
        <v>1526.37</v>
      </c>
      <c r="BA119">
        <v>1526.54</v>
      </c>
      <c r="BB119">
        <v>1526.36</v>
      </c>
      <c r="BC119">
        <v>1526.86</v>
      </c>
      <c r="BD119">
        <v>1526.75</v>
      </c>
      <c r="BE119">
        <v>1525.95</v>
      </c>
      <c r="BF119">
        <v>1526.62</v>
      </c>
      <c r="BG119">
        <v>1526.68</v>
      </c>
      <c r="BH119">
        <v>1526.59</v>
      </c>
      <c r="BI119">
        <v>1526.02</v>
      </c>
      <c r="BJ119">
        <v>1526.58</v>
      </c>
    </row>
    <row r="120" spans="1:62" x14ac:dyDescent="0.25">
      <c r="A120" t="s">
        <v>29</v>
      </c>
      <c r="B120" t="s">
        <v>30</v>
      </c>
      <c r="C120" t="s">
        <v>53</v>
      </c>
      <c r="D120" t="s">
        <v>54</v>
      </c>
      <c r="E120" t="s">
        <v>67</v>
      </c>
      <c r="F120" t="s">
        <v>68</v>
      </c>
      <c r="G120" t="s">
        <v>17</v>
      </c>
      <c r="H120">
        <v>62</v>
      </c>
    </row>
    <row r="121" spans="1:62" x14ac:dyDescent="0.25">
      <c r="A121" s="3">
        <v>46169</v>
      </c>
      <c r="B121" s="3">
        <v>46169</v>
      </c>
      <c r="C121" s="3">
        <v>46169</v>
      </c>
      <c r="D121" s="3">
        <v>46169</v>
      </c>
      <c r="E121" s="3">
        <v>46170</v>
      </c>
      <c r="F121" s="3">
        <v>46170</v>
      </c>
      <c r="G121" s="3">
        <v>46171</v>
      </c>
      <c r="H121" s="3">
        <v>46171</v>
      </c>
      <c r="I121" s="3">
        <v>46171</v>
      </c>
      <c r="J121" s="3">
        <v>46171</v>
      </c>
      <c r="K121" s="3">
        <v>46172</v>
      </c>
      <c r="L121" s="3">
        <v>46172</v>
      </c>
      <c r="M121" s="3">
        <v>46172</v>
      </c>
      <c r="N121" s="3">
        <v>46174</v>
      </c>
      <c r="O121" s="3">
        <v>46174</v>
      </c>
      <c r="P121" s="3">
        <v>46174</v>
      </c>
      <c r="Q121" s="3">
        <v>46174</v>
      </c>
      <c r="R121" s="3">
        <v>46175</v>
      </c>
      <c r="S121" s="3">
        <v>46175</v>
      </c>
      <c r="T121" s="3">
        <v>46175</v>
      </c>
      <c r="U121" s="3">
        <v>46176</v>
      </c>
      <c r="V121" s="3">
        <v>46176</v>
      </c>
      <c r="W121" s="3">
        <v>46176</v>
      </c>
      <c r="X121" s="3">
        <v>46176</v>
      </c>
      <c r="Y121" s="3">
        <v>46176</v>
      </c>
      <c r="Z121" s="3">
        <v>46176</v>
      </c>
      <c r="AA121" s="3">
        <v>46176</v>
      </c>
      <c r="AB121" s="3">
        <v>46177</v>
      </c>
      <c r="AC121" s="3">
        <v>46178</v>
      </c>
      <c r="AD121" s="3">
        <v>46178</v>
      </c>
      <c r="AE121" s="3">
        <v>46178</v>
      </c>
      <c r="AF121" s="3">
        <v>46179</v>
      </c>
      <c r="AG121" s="3">
        <v>46180</v>
      </c>
      <c r="AH121" s="3">
        <v>46180</v>
      </c>
      <c r="AI121" s="3">
        <v>46180</v>
      </c>
      <c r="AJ121" s="3">
        <v>46180</v>
      </c>
      <c r="AK121" s="3">
        <v>46181</v>
      </c>
      <c r="AL121" s="3">
        <v>46181</v>
      </c>
      <c r="AM121" s="3">
        <v>46181</v>
      </c>
      <c r="AN121" s="3">
        <v>46181</v>
      </c>
      <c r="AO121" s="3">
        <v>46181</v>
      </c>
      <c r="AP121" s="3">
        <v>46182</v>
      </c>
      <c r="AQ121" s="3">
        <v>46182</v>
      </c>
      <c r="AR121" s="3">
        <v>46182</v>
      </c>
      <c r="AS121" s="3">
        <v>46182</v>
      </c>
      <c r="AT121" s="3">
        <v>46182</v>
      </c>
      <c r="AU121" s="3">
        <v>46183</v>
      </c>
      <c r="AV121" s="3">
        <v>46183</v>
      </c>
      <c r="AW121" s="3">
        <v>46183</v>
      </c>
      <c r="AX121" s="3">
        <v>46183</v>
      </c>
      <c r="AY121" s="3">
        <v>46183</v>
      </c>
      <c r="AZ121" s="3">
        <v>46184</v>
      </c>
      <c r="BA121" s="3">
        <v>46184</v>
      </c>
      <c r="BB121" s="3">
        <v>46184</v>
      </c>
      <c r="BC121" s="3">
        <v>46184</v>
      </c>
      <c r="BD121" s="3">
        <v>46184</v>
      </c>
      <c r="BE121" s="3">
        <v>46185</v>
      </c>
      <c r="BF121" s="3">
        <v>46185</v>
      </c>
      <c r="BG121" s="3">
        <v>46185</v>
      </c>
      <c r="BH121" s="3">
        <v>46185</v>
      </c>
      <c r="BI121" s="3">
        <v>46186</v>
      </c>
      <c r="BJ121" s="3">
        <v>46186</v>
      </c>
    </row>
    <row r="122" spans="1:62" x14ac:dyDescent="0.25">
      <c r="A122">
        <v>816948</v>
      </c>
      <c r="B122">
        <v>816987</v>
      </c>
      <c r="C122">
        <v>816998</v>
      </c>
      <c r="D122">
        <v>817092</v>
      </c>
      <c r="E122">
        <v>817353</v>
      </c>
      <c r="F122">
        <v>817441</v>
      </c>
      <c r="G122">
        <v>817773</v>
      </c>
      <c r="H122">
        <v>817861</v>
      </c>
      <c r="I122">
        <v>817943</v>
      </c>
      <c r="J122">
        <v>817985</v>
      </c>
      <c r="K122">
        <v>818214</v>
      </c>
      <c r="L122">
        <v>818254</v>
      </c>
      <c r="M122">
        <v>818291</v>
      </c>
      <c r="N122">
        <v>818439</v>
      </c>
      <c r="O122">
        <v>818580</v>
      </c>
      <c r="P122">
        <v>818627</v>
      </c>
      <c r="Q122">
        <v>818667</v>
      </c>
      <c r="R122">
        <v>818839</v>
      </c>
      <c r="S122">
        <v>818934</v>
      </c>
      <c r="T122">
        <v>819019</v>
      </c>
      <c r="U122">
        <v>819103</v>
      </c>
      <c r="V122">
        <v>819271</v>
      </c>
      <c r="W122">
        <v>819315</v>
      </c>
      <c r="X122">
        <v>819370</v>
      </c>
      <c r="Y122">
        <v>819445</v>
      </c>
      <c r="Z122">
        <v>819491</v>
      </c>
      <c r="AA122">
        <v>819533</v>
      </c>
      <c r="AB122">
        <v>819706</v>
      </c>
      <c r="AC122">
        <v>819995</v>
      </c>
      <c r="AD122">
        <v>820041</v>
      </c>
      <c r="AE122">
        <v>820088</v>
      </c>
      <c r="AF122">
        <v>820271</v>
      </c>
      <c r="AG122">
        <v>820495</v>
      </c>
      <c r="AH122">
        <v>820568</v>
      </c>
      <c r="AI122">
        <v>820630</v>
      </c>
      <c r="AJ122">
        <v>820670</v>
      </c>
      <c r="AK122">
        <v>820873</v>
      </c>
      <c r="AL122">
        <v>820921</v>
      </c>
      <c r="AM122">
        <v>820957</v>
      </c>
      <c r="AN122">
        <v>821024</v>
      </c>
      <c r="AO122">
        <v>821060</v>
      </c>
      <c r="AP122">
        <v>821288</v>
      </c>
      <c r="AQ122">
        <v>821319</v>
      </c>
      <c r="AR122">
        <v>821356</v>
      </c>
      <c r="AS122">
        <v>821451</v>
      </c>
      <c r="AT122">
        <v>821500</v>
      </c>
      <c r="AU122">
        <v>821710</v>
      </c>
      <c r="AV122">
        <v>821754</v>
      </c>
      <c r="AW122">
        <v>821805</v>
      </c>
      <c r="AX122">
        <v>821885</v>
      </c>
      <c r="AY122">
        <v>821931</v>
      </c>
      <c r="AZ122">
        <v>822143</v>
      </c>
      <c r="BA122">
        <v>822185</v>
      </c>
      <c r="BB122">
        <v>822236</v>
      </c>
      <c r="BC122">
        <v>822306</v>
      </c>
      <c r="BD122">
        <v>822352</v>
      </c>
      <c r="BE122">
        <v>822558</v>
      </c>
      <c r="BF122">
        <v>822647</v>
      </c>
      <c r="BG122">
        <v>822737</v>
      </c>
      <c r="BH122">
        <v>822777</v>
      </c>
      <c r="BI122">
        <v>823003</v>
      </c>
      <c r="BJ122">
        <v>823082</v>
      </c>
    </row>
    <row r="123" spans="1:62" x14ac:dyDescent="0.25">
      <c r="A123">
        <v>620.4</v>
      </c>
      <c r="B123">
        <v>620.4</v>
      </c>
      <c r="C123">
        <v>620.4</v>
      </c>
      <c r="D123">
        <v>620.4</v>
      </c>
      <c r="E123">
        <v>620.4</v>
      </c>
      <c r="F123">
        <v>620.4</v>
      </c>
      <c r="G123">
        <v>620.4</v>
      </c>
      <c r="H123">
        <v>620.4</v>
      </c>
      <c r="I123">
        <v>620.4</v>
      </c>
      <c r="J123">
        <v>620.4</v>
      </c>
      <c r="K123">
        <v>620.4</v>
      </c>
      <c r="L123">
        <v>620.4</v>
      </c>
      <c r="M123">
        <v>620.4</v>
      </c>
      <c r="N123">
        <v>620.4</v>
      </c>
      <c r="O123">
        <v>620.4</v>
      </c>
      <c r="P123">
        <v>620.4</v>
      </c>
      <c r="Q123">
        <v>620.4</v>
      </c>
      <c r="R123">
        <v>620.4</v>
      </c>
      <c r="S123">
        <v>620.4</v>
      </c>
      <c r="T123">
        <v>620.4</v>
      </c>
      <c r="U123">
        <v>620.4</v>
      </c>
      <c r="V123">
        <v>620.4</v>
      </c>
      <c r="W123">
        <v>620.4</v>
      </c>
      <c r="X123">
        <v>620.4</v>
      </c>
      <c r="Y123">
        <v>620.4</v>
      </c>
      <c r="Z123">
        <v>620.4</v>
      </c>
      <c r="AA123">
        <v>620.4</v>
      </c>
      <c r="AB123">
        <v>620.4</v>
      </c>
      <c r="AC123">
        <v>620.4</v>
      </c>
      <c r="AD123">
        <v>620.4</v>
      </c>
      <c r="AE123">
        <v>620.4</v>
      </c>
      <c r="AF123">
        <v>620.4</v>
      </c>
      <c r="AG123">
        <v>620.4</v>
      </c>
      <c r="AH123">
        <v>620.4</v>
      </c>
      <c r="AI123">
        <v>620.4</v>
      </c>
      <c r="AJ123">
        <v>620.4</v>
      </c>
      <c r="AK123">
        <v>620.4</v>
      </c>
      <c r="AL123">
        <v>620.4</v>
      </c>
      <c r="AM123">
        <v>620.4</v>
      </c>
      <c r="AN123">
        <v>620.4</v>
      </c>
      <c r="AO123">
        <v>620.4</v>
      </c>
      <c r="AP123">
        <v>620.4</v>
      </c>
      <c r="AQ123">
        <v>620.4</v>
      </c>
      <c r="AR123">
        <v>620.4</v>
      </c>
      <c r="AS123">
        <v>620.4</v>
      </c>
      <c r="AT123">
        <v>620.4</v>
      </c>
      <c r="AU123">
        <v>620.4</v>
      </c>
      <c r="AV123">
        <v>620.4</v>
      </c>
      <c r="AW123">
        <v>620.4</v>
      </c>
      <c r="AX123">
        <v>620.4</v>
      </c>
      <c r="AY123">
        <v>620.4</v>
      </c>
      <c r="AZ123">
        <v>620.4</v>
      </c>
      <c r="BA123">
        <v>620.4</v>
      </c>
      <c r="BB123">
        <v>620.4</v>
      </c>
      <c r="BC123">
        <v>620.4</v>
      </c>
      <c r="BD123">
        <v>620.4</v>
      </c>
      <c r="BE123">
        <v>620.4</v>
      </c>
      <c r="BF123">
        <v>620.4</v>
      </c>
      <c r="BG123">
        <v>620.4</v>
      </c>
      <c r="BH123">
        <v>620.4</v>
      </c>
      <c r="BI123">
        <v>620.4</v>
      </c>
      <c r="BJ123">
        <v>620.4</v>
      </c>
    </row>
    <row r="124" spans="1:62" x14ac:dyDescent="0.25">
      <c r="A124">
        <v>616.4</v>
      </c>
      <c r="B124">
        <v>616.4</v>
      </c>
      <c r="C124">
        <v>616.4</v>
      </c>
      <c r="D124">
        <v>616.4</v>
      </c>
      <c r="E124">
        <v>616.4</v>
      </c>
      <c r="F124">
        <v>616.4</v>
      </c>
      <c r="G124">
        <v>616.4</v>
      </c>
      <c r="H124">
        <v>616.4</v>
      </c>
      <c r="I124">
        <v>616.4</v>
      </c>
      <c r="J124">
        <v>616.4</v>
      </c>
      <c r="K124">
        <v>616.4</v>
      </c>
      <c r="L124">
        <v>616.4</v>
      </c>
      <c r="M124">
        <v>616.4</v>
      </c>
      <c r="N124">
        <v>616.4</v>
      </c>
      <c r="O124">
        <v>616.4</v>
      </c>
      <c r="P124">
        <v>616.4</v>
      </c>
      <c r="Q124">
        <v>616.4</v>
      </c>
      <c r="R124">
        <v>616.4</v>
      </c>
      <c r="S124">
        <v>616.4</v>
      </c>
      <c r="T124">
        <v>616.4</v>
      </c>
      <c r="U124">
        <v>616.4</v>
      </c>
      <c r="V124">
        <v>616.4</v>
      </c>
      <c r="W124">
        <v>616.4</v>
      </c>
      <c r="X124">
        <v>616.4</v>
      </c>
      <c r="Y124">
        <v>616.4</v>
      </c>
      <c r="Z124">
        <v>616.4</v>
      </c>
      <c r="AA124">
        <v>616.4</v>
      </c>
      <c r="AB124">
        <v>616.4</v>
      </c>
      <c r="AC124">
        <v>616.4</v>
      </c>
      <c r="AD124">
        <v>616.4</v>
      </c>
      <c r="AE124">
        <v>616.4</v>
      </c>
      <c r="AF124">
        <v>616.4</v>
      </c>
      <c r="AG124">
        <v>616.4</v>
      </c>
      <c r="AH124">
        <v>616.4</v>
      </c>
      <c r="AI124">
        <v>616.4</v>
      </c>
      <c r="AJ124">
        <v>616.4</v>
      </c>
      <c r="AK124">
        <v>616.4</v>
      </c>
      <c r="AL124">
        <v>616.4</v>
      </c>
      <c r="AM124">
        <v>616.4</v>
      </c>
      <c r="AN124">
        <v>616.4</v>
      </c>
      <c r="AO124">
        <v>616.4</v>
      </c>
      <c r="AP124">
        <v>616.4</v>
      </c>
      <c r="AQ124">
        <v>616.4</v>
      </c>
      <c r="AR124">
        <v>616.4</v>
      </c>
      <c r="AS124">
        <v>616.4</v>
      </c>
      <c r="AT124">
        <v>616.4</v>
      </c>
      <c r="AU124">
        <v>616.4</v>
      </c>
      <c r="AV124">
        <v>616.4</v>
      </c>
      <c r="AW124">
        <v>616.4</v>
      </c>
      <c r="AX124">
        <v>616.4</v>
      </c>
      <c r="AY124">
        <v>616.4</v>
      </c>
      <c r="AZ124">
        <v>616.4</v>
      </c>
      <c r="BA124">
        <v>616.4</v>
      </c>
      <c r="BB124">
        <v>616.4</v>
      </c>
      <c r="BC124">
        <v>616.4</v>
      </c>
      <c r="BD124">
        <v>616.4</v>
      </c>
      <c r="BE124">
        <v>616.4</v>
      </c>
      <c r="BF124">
        <v>616.4</v>
      </c>
      <c r="BG124">
        <v>616.4</v>
      </c>
      <c r="BH124">
        <v>616.4</v>
      </c>
      <c r="BI124">
        <v>616.4</v>
      </c>
      <c r="BJ124">
        <v>616.4</v>
      </c>
    </row>
    <row r="125" spans="1:62" x14ac:dyDescent="0.25">
      <c r="A125">
        <v>624.4</v>
      </c>
      <c r="B125">
        <v>624.4</v>
      </c>
      <c r="C125">
        <v>624.4</v>
      </c>
      <c r="D125">
        <v>624.4</v>
      </c>
      <c r="E125">
        <v>624.4</v>
      </c>
      <c r="F125">
        <v>624.4</v>
      </c>
      <c r="G125">
        <v>624.4</v>
      </c>
      <c r="H125">
        <v>624.4</v>
      </c>
      <c r="I125">
        <v>624.4</v>
      </c>
      <c r="J125">
        <v>624.4</v>
      </c>
      <c r="K125">
        <v>624.4</v>
      </c>
      <c r="L125">
        <v>624.4</v>
      </c>
      <c r="M125">
        <v>624.4</v>
      </c>
      <c r="N125">
        <v>624.4</v>
      </c>
      <c r="O125">
        <v>624.4</v>
      </c>
      <c r="P125">
        <v>624.4</v>
      </c>
      <c r="Q125">
        <v>624.4</v>
      </c>
      <c r="R125">
        <v>624.4</v>
      </c>
      <c r="S125">
        <v>624.4</v>
      </c>
      <c r="T125">
        <v>624.4</v>
      </c>
      <c r="U125">
        <v>624.4</v>
      </c>
      <c r="V125">
        <v>624.4</v>
      </c>
      <c r="W125">
        <v>624.4</v>
      </c>
      <c r="X125">
        <v>624.4</v>
      </c>
      <c r="Y125">
        <v>624.4</v>
      </c>
      <c r="Z125">
        <v>624.4</v>
      </c>
      <c r="AA125">
        <v>624.4</v>
      </c>
      <c r="AB125">
        <v>624.4</v>
      </c>
      <c r="AC125">
        <v>624.4</v>
      </c>
      <c r="AD125">
        <v>624.4</v>
      </c>
      <c r="AE125">
        <v>624.4</v>
      </c>
      <c r="AF125">
        <v>624.4</v>
      </c>
      <c r="AG125">
        <v>624.4</v>
      </c>
      <c r="AH125">
        <v>624.4</v>
      </c>
      <c r="AI125">
        <v>624.4</v>
      </c>
      <c r="AJ125">
        <v>624.4</v>
      </c>
      <c r="AK125">
        <v>624.4</v>
      </c>
      <c r="AL125">
        <v>624.4</v>
      </c>
      <c r="AM125">
        <v>624.4</v>
      </c>
      <c r="AN125">
        <v>624.4</v>
      </c>
      <c r="AO125">
        <v>624.4</v>
      </c>
      <c r="AP125">
        <v>624.4</v>
      </c>
      <c r="AQ125">
        <v>624.4</v>
      </c>
      <c r="AR125">
        <v>624.4</v>
      </c>
      <c r="AS125">
        <v>624.4</v>
      </c>
      <c r="AT125">
        <v>624.4</v>
      </c>
      <c r="AU125">
        <v>624.4</v>
      </c>
      <c r="AV125">
        <v>624.4</v>
      </c>
      <c r="AW125">
        <v>624.4</v>
      </c>
      <c r="AX125">
        <v>624.4</v>
      </c>
      <c r="AY125">
        <v>624.4</v>
      </c>
      <c r="AZ125">
        <v>624.4</v>
      </c>
      <c r="BA125">
        <v>624.4</v>
      </c>
      <c r="BB125">
        <v>624.4</v>
      </c>
      <c r="BC125">
        <v>624.4</v>
      </c>
      <c r="BD125">
        <v>624.4</v>
      </c>
      <c r="BE125">
        <v>624.4</v>
      </c>
      <c r="BF125">
        <v>624.4</v>
      </c>
      <c r="BG125">
        <v>624.4</v>
      </c>
      <c r="BH125">
        <v>624.4</v>
      </c>
      <c r="BI125">
        <v>624.4</v>
      </c>
      <c r="BJ125">
        <v>624.4</v>
      </c>
    </row>
    <row r="126" spans="1:62" x14ac:dyDescent="0.25">
      <c r="A126">
        <v>618.94000000000005</v>
      </c>
      <c r="B126">
        <v>620.28</v>
      </c>
      <c r="C126">
        <v>618.80999999999995</v>
      </c>
      <c r="D126">
        <v>618.79999999999995</v>
      </c>
      <c r="E126">
        <v>620.20000000000005</v>
      </c>
      <c r="F126">
        <v>619.79999999999995</v>
      </c>
      <c r="G126">
        <v>618.1</v>
      </c>
      <c r="H126">
        <v>619.79999999999995</v>
      </c>
      <c r="I126">
        <v>618.6</v>
      </c>
      <c r="J126">
        <v>618.33000000000004</v>
      </c>
      <c r="K126">
        <v>620.28</v>
      </c>
      <c r="L126">
        <v>620.47</v>
      </c>
      <c r="M126">
        <v>618.78</v>
      </c>
      <c r="N126">
        <v>618.83000000000004</v>
      </c>
      <c r="O126">
        <v>620.20000000000005</v>
      </c>
      <c r="P126">
        <v>620.70000000000005</v>
      </c>
      <c r="Q126">
        <v>620.97</v>
      </c>
      <c r="R126">
        <v>618.36</v>
      </c>
      <c r="S126">
        <v>619.20000000000005</v>
      </c>
      <c r="T126">
        <v>620.29999999999995</v>
      </c>
      <c r="U126">
        <v>621.70000000000005</v>
      </c>
      <c r="V126">
        <v>617.66999999999996</v>
      </c>
      <c r="W126">
        <v>620.70000000000005</v>
      </c>
      <c r="X126">
        <v>620.1</v>
      </c>
      <c r="Y126">
        <v>619.29999999999995</v>
      </c>
      <c r="Z126">
        <v>621</v>
      </c>
      <c r="AA126">
        <v>620.05999999999995</v>
      </c>
      <c r="AB126">
        <v>619.28</v>
      </c>
      <c r="AC126">
        <v>621.36</v>
      </c>
      <c r="AD126">
        <v>620.65</v>
      </c>
      <c r="AE126">
        <v>620.78</v>
      </c>
      <c r="AF126">
        <v>620.20000000000005</v>
      </c>
      <c r="AG126">
        <v>620.17999999999995</v>
      </c>
      <c r="AH126">
        <v>619.99</v>
      </c>
      <c r="AI126">
        <v>619.9</v>
      </c>
      <c r="AJ126">
        <v>620.65</v>
      </c>
      <c r="AK126">
        <v>619.91</v>
      </c>
      <c r="AL126">
        <v>620.02</v>
      </c>
      <c r="AM126">
        <v>619.42999999999995</v>
      </c>
      <c r="AN126">
        <v>619.48</v>
      </c>
      <c r="AO126">
        <v>619.54</v>
      </c>
      <c r="AP126">
        <v>618.47</v>
      </c>
      <c r="AQ126">
        <v>619.36</v>
      </c>
      <c r="AR126">
        <v>619.27</v>
      </c>
      <c r="AS126">
        <v>620.45000000000005</v>
      </c>
      <c r="AT126">
        <v>619.14</v>
      </c>
      <c r="AU126">
        <v>619.54</v>
      </c>
      <c r="AV126">
        <v>619.87</v>
      </c>
      <c r="AW126">
        <v>620.42999999999995</v>
      </c>
      <c r="AX126">
        <v>619.73</v>
      </c>
      <c r="AY126">
        <v>618.29999999999995</v>
      </c>
      <c r="AZ126">
        <v>619.83000000000004</v>
      </c>
      <c r="BA126">
        <v>619.79999999999995</v>
      </c>
      <c r="BB126">
        <v>619.91</v>
      </c>
      <c r="BC126">
        <v>619.22</v>
      </c>
      <c r="BD126">
        <v>620.19000000000005</v>
      </c>
      <c r="BE126">
        <v>620.6</v>
      </c>
      <c r="BF126">
        <v>619.84</v>
      </c>
      <c r="BG126">
        <v>618.67999999999995</v>
      </c>
      <c r="BH126">
        <v>618.69000000000005</v>
      </c>
      <c r="BI126">
        <v>619.38</v>
      </c>
      <c r="BJ126">
        <v>620.45000000000005</v>
      </c>
    </row>
    <row r="127" spans="1:62" x14ac:dyDescent="0.25">
      <c r="A127" t="s">
        <v>29</v>
      </c>
      <c r="B127" t="s">
        <v>30</v>
      </c>
      <c r="C127" t="s">
        <v>53</v>
      </c>
      <c r="D127" t="s">
        <v>54</v>
      </c>
      <c r="E127" t="s">
        <v>69</v>
      </c>
      <c r="F127" t="s">
        <v>70</v>
      </c>
      <c r="G127" t="s">
        <v>22</v>
      </c>
      <c r="H127">
        <v>62</v>
      </c>
    </row>
    <row r="128" spans="1:62" x14ac:dyDescent="0.25">
      <c r="A128" s="3">
        <v>46169</v>
      </c>
      <c r="B128" s="3">
        <v>46169</v>
      </c>
      <c r="C128" s="3">
        <v>46169</v>
      </c>
      <c r="D128" s="3">
        <v>46169</v>
      </c>
      <c r="E128" s="3">
        <v>46170</v>
      </c>
      <c r="F128" s="3">
        <v>46170</v>
      </c>
      <c r="G128" s="3">
        <v>46171</v>
      </c>
      <c r="H128" s="3">
        <v>46171</v>
      </c>
      <c r="I128" s="3">
        <v>46171</v>
      </c>
      <c r="J128" s="3">
        <v>46171</v>
      </c>
      <c r="K128" s="3">
        <v>46172</v>
      </c>
      <c r="L128" s="3">
        <v>46172</v>
      </c>
      <c r="M128" s="3">
        <v>46172</v>
      </c>
      <c r="N128" s="3">
        <v>46174</v>
      </c>
      <c r="O128" s="3">
        <v>46174</v>
      </c>
      <c r="P128" s="3">
        <v>46174</v>
      </c>
      <c r="Q128" s="3">
        <v>46174</v>
      </c>
      <c r="R128" s="3">
        <v>46175</v>
      </c>
      <c r="S128" s="3">
        <v>46175</v>
      </c>
      <c r="T128" s="3">
        <v>46175</v>
      </c>
      <c r="U128" s="3">
        <v>46176</v>
      </c>
      <c r="V128" s="3">
        <v>46176</v>
      </c>
      <c r="W128" s="3">
        <v>46176</v>
      </c>
      <c r="X128" s="3">
        <v>46176</v>
      </c>
      <c r="Y128" s="3">
        <v>46176</v>
      </c>
      <c r="Z128" s="3">
        <v>46176</v>
      </c>
      <c r="AA128" s="3">
        <v>46176</v>
      </c>
      <c r="AB128" s="3">
        <v>46177</v>
      </c>
      <c r="AC128" s="3">
        <v>46178</v>
      </c>
      <c r="AD128" s="3">
        <v>46178</v>
      </c>
      <c r="AE128" s="3">
        <v>46178</v>
      </c>
      <c r="AF128" s="3">
        <v>46179</v>
      </c>
      <c r="AG128" s="3">
        <v>46180</v>
      </c>
      <c r="AH128" s="3">
        <v>46180</v>
      </c>
      <c r="AI128" s="3">
        <v>46180</v>
      </c>
      <c r="AJ128" s="3">
        <v>46180</v>
      </c>
      <c r="AK128" s="3">
        <v>46181</v>
      </c>
      <c r="AL128" s="3">
        <v>46181</v>
      </c>
      <c r="AM128" s="3">
        <v>46181</v>
      </c>
      <c r="AN128" s="3">
        <v>46181</v>
      </c>
      <c r="AO128" s="3">
        <v>46181</v>
      </c>
      <c r="AP128" s="3">
        <v>46182</v>
      </c>
      <c r="AQ128" s="3">
        <v>46182</v>
      </c>
      <c r="AR128" s="3">
        <v>46182</v>
      </c>
      <c r="AS128" s="3">
        <v>46182</v>
      </c>
      <c r="AT128" s="3">
        <v>46182</v>
      </c>
      <c r="AU128" s="3">
        <v>46183</v>
      </c>
      <c r="AV128" s="3">
        <v>46183</v>
      </c>
      <c r="AW128" s="3">
        <v>46183</v>
      </c>
      <c r="AX128" s="3">
        <v>46183</v>
      </c>
      <c r="AY128" s="3">
        <v>46183</v>
      </c>
      <c r="AZ128" s="3">
        <v>46184</v>
      </c>
      <c r="BA128" s="3">
        <v>46184</v>
      </c>
      <c r="BB128" s="3">
        <v>46184</v>
      </c>
      <c r="BC128" s="3">
        <v>46184</v>
      </c>
      <c r="BD128" s="3">
        <v>46184</v>
      </c>
      <c r="BE128" s="3">
        <v>46185</v>
      </c>
      <c r="BF128" s="3">
        <v>46185</v>
      </c>
      <c r="BG128" s="3">
        <v>46185</v>
      </c>
      <c r="BH128" s="3">
        <v>46185</v>
      </c>
      <c r="BI128" s="3">
        <v>46186</v>
      </c>
      <c r="BJ128" s="3">
        <v>46186</v>
      </c>
    </row>
    <row r="129" spans="1:62" x14ac:dyDescent="0.25">
      <c r="A129">
        <v>816948</v>
      </c>
      <c r="B129">
        <v>816987</v>
      </c>
      <c r="C129">
        <v>816998</v>
      </c>
      <c r="D129">
        <v>817092</v>
      </c>
      <c r="E129">
        <v>817353</v>
      </c>
      <c r="F129">
        <v>817441</v>
      </c>
      <c r="G129">
        <v>817773</v>
      </c>
      <c r="H129">
        <v>817861</v>
      </c>
      <c r="I129">
        <v>817943</v>
      </c>
      <c r="J129">
        <v>817985</v>
      </c>
      <c r="K129">
        <v>818214</v>
      </c>
      <c r="L129">
        <v>818254</v>
      </c>
      <c r="M129">
        <v>818291</v>
      </c>
      <c r="N129">
        <v>818439</v>
      </c>
      <c r="O129">
        <v>818580</v>
      </c>
      <c r="P129">
        <v>818627</v>
      </c>
      <c r="Q129">
        <v>818667</v>
      </c>
      <c r="R129">
        <v>818839</v>
      </c>
      <c r="S129">
        <v>818934</v>
      </c>
      <c r="T129">
        <v>819019</v>
      </c>
      <c r="U129">
        <v>819103</v>
      </c>
      <c r="V129">
        <v>819271</v>
      </c>
      <c r="W129">
        <v>819315</v>
      </c>
      <c r="X129">
        <v>819370</v>
      </c>
      <c r="Y129">
        <v>819445</v>
      </c>
      <c r="Z129">
        <v>819491</v>
      </c>
      <c r="AA129">
        <v>819533</v>
      </c>
      <c r="AB129">
        <v>819706</v>
      </c>
      <c r="AC129">
        <v>819995</v>
      </c>
      <c r="AD129">
        <v>820041</v>
      </c>
      <c r="AE129">
        <v>820088</v>
      </c>
      <c r="AF129">
        <v>820271</v>
      </c>
      <c r="AG129">
        <v>820495</v>
      </c>
      <c r="AH129">
        <v>820568</v>
      </c>
      <c r="AI129">
        <v>820630</v>
      </c>
      <c r="AJ129">
        <v>820670</v>
      </c>
      <c r="AK129">
        <v>820873</v>
      </c>
      <c r="AL129">
        <v>820921</v>
      </c>
      <c r="AM129">
        <v>820957</v>
      </c>
      <c r="AN129">
        <v>821024</v>
      </c>
      <c r="AO129">
        <v>821060</v>
      </c>
      <c r="AP129">
        <v>821288</v>
      </c>
      <c r="AQ129">
        <v>821319</v>
      </c>
      <c r="AR129">
        <v>821356</v>
      </c>
      <c r="AS129">
        <v>821451</v>
      </c>
      <c r="AT129">
        <v>821500</v>
      </c>
      <c r="AU129">
        <v>821710</v>
      </c>
      <c r="AV129">
        <v>821754</v>
      </c>
      <c r="AW129">
        <v>821805</v>
      </c>
      <c r="AX129">
        <v>821885</v>
      </c>
      <c r="AY129">
        <v>821931</v>
      </c>
      <c r="AZ129">
        <v>822143</v>
      </c>
      <c r="BA129">
        <v>822185</v>
      </c>
      <c r="BB129">
        <v>822236</v>
      </c>
      <c r="BC129">
        <v>822306</v>
      </c>
      <c r="BD129">
        <v>822352</v>
      </c>
      <c r="BE129">
        <v>822558</v>
      </c>
      <c r="BF129">
        <v>822647</v>
      </c>
      <c r="BG129">
        <v>822737</v>
      </c>
      <c r="BH129">
        <v>822777</v>
      </c>
      <c r="BI129">
        <v>823003</v>
      </c>
      <c r="BJ129">
        <v>823082</v>
      </c>
    </row>
    <row r="130" spans="1:62" x14ac:dyDescent="0.25">
      <c r="A130">
        <v>918</v>
      </c>
      <c r="B130">
        <v>918</v>
      </c>
      <c r="C130">
        <v>918</v>
      </c>
      <c r="D130">
        <v>918</v>
      </c>
      <c r="E130">
        <v>918</v>
      </c>
      <c r="F130">
        <v>918</v>
      </c>
      <c r="G130">
        <v>918</v>
      </c>
      <c r="H130">
        <v>918</v>
      </c>
      <c r="I130">
        <v>918</v>
      </c>
      <c r="J130">
        <v>918</v>
      </c>
      <c r="K130">
        <v>918</v>
      </c>
      <c r="L130">
        <v>918</v>
      </c>
      <c r="M130">
        <v>918</v>
      </c>
      <c r="N130">
        <v>918</v>
      </c>
      <c r="O130">
        <v>918</v>
      </c>
      <c r="P130">
        <v>918</v>
      </c>
      <c r="Q130">
        <v>918</v>
      </c>
      <c r="R130">
        <v>918</v>
      </c>
      <c r="S130">
        <v>918</v>
      </c>
      <c r="T130">
        <v>918</v>
      </c>
      <c r="U130">
        <v>918</v>
      </c>
      <c r="V130">
        <v>918</v>
      </c>
      <c r="W130">
        <v>918</v>
      </c>
      <c r="X130">
        <v>918</v>
      </c>
      <c r="Y130">
        <v>918</v>
      </c>
      <c r="Z130">
        <v>918</v>
      </c>
      <c r="AA130">
        <v>918</v>
      </c>
      <c r="AB130">
        <v>918</v>
      </c>
      <c r="AC130">
        <v>918</v>
      </c>
      <c r="AD130">
        <v>918</v>
      </c>
      <c r="AE130">
        <v>918</v>
      </c>
      <c r="AF130">
        <v>918</v>
      </c>
      <c r="AG130">
        <v>918</v>
      </c>
      <c r="AH130">
        <v>918</v>
      </c>
      <c r="AI130">
        <v>918</v>
      </c>
      <c r="AJ130">
        <v>918</v>
      </c>
      <c r="AK130">
        <v>918</v>
      </c>
      <c r="AL130">
        <v>918</v>
      </c>
      <c r="AM130">
        <v>918</v>
      </c>
      <c r="AN130">
        <v>918</v>
      </c>
      <c r="AO130">
        <v>918</v>
      </c>
      <c r="AP130">
        <v>918</v>
      </c>
      <c r="AQ130">
        <v>918</v>
      </c>
      <c r="AR130">
        <v>918</v>
      </c>
      <c r="AS130">
        <v>918</v>
      </c>
      <c r="AT130">
        <v>918</v>
      </c>
      <c r="AU130">
        <v>918</v>
      </c>
      <c r="AV130">
        <v>918</v>
      </c>
      <c r="AW130">
        <v>918</v>
      </c>
      <c r="AX130">
        <v>918</v>
      </c>
      <c r="AY130">
        <v>918</v>
      </c>
      <c r="AZ130">
        <v>918</v>
      </c>
      <c r="BA130">
        <v>918</v>
      </c>
      <c r="BB130">
        <v>918</v>
      </c>
      <c r="BC130">
        <v>918</v>
      </c>
      <c r="BD130">
        <v>918</v>
      </c>
      <c r="BE130">
        <v>918</v>
      </c>
      <c r="BF130">
        <v>918</v>
      </c>
      <c r="BG130">
        <v>918</v>
      </c>
      <c r="BH130">
        <v>918</v>
      </c>
      <c r="BI130">
        <v>918</v>
      </c>
      <c r="BJ130">
        <v>918</v>
      </c>
    </row>
    <row r="131" spans="1:62" x14ac:dyDescent="0.25">
      <c r="A131">
        <v>914</v>
      </c>
      <c r="B131">
        <v>914</v>
      </c>
      <c r="C131">
        <v>914</v>
      </c>
      <c r="D131">
        <v>914</v>
      </c>
      <c r="E131">
        <v>914</v>
      </c>
      <c r="F131">
        <v>914</v>
      </c>
      <c r="G131">
        <v>914</v>
      </c>
      <c r="H131">
        <v>914</v>
      </c>
      <c r="I131">
        <v>914</v>
      </c>
      <c r="J131">
        <v>914</v>
      </c>
      <c r="K131">
        <v>914</v>
      </c>
      <c r="L131">
        <v>914</v>
      </c>
      <c r="M131">
        <v>914</v>
      </c>
      <c r="N131">
        <v>914</v>
      </c>
      <c r="O131">
        <v>914</v>
      </c>
      <c r="P131">
        <v>914</v>
      </c>
      <c r="Q131">
        <v>914</v>
      </c>
      <c r="R131">
        <v>914</v>
      </c>
      <c r="S131">
        <v>914</v>
      </c>
      <c r="T131">
        <v>914</v>
      </c>
      <c r="U131">
        <v>914</v>
      </c>
      <c r="V131">
        <v>914</v>
      </c>
      <c r="W131">
        <v>914</v>
      </c>
      <c r="X131">
        <v>914</v>
      </c>
      <c r="Y131">
        <v>914</v>
      </c>
      <c r="Z131">
        <v>914</v>
      </c>
      <c r="AA131">
        <v>914</v>
      </c>
      <c r="AB131">
        <v>914</v>
      </c>
      <c r="AC131">
        <v>914</v>
      </c>
      <c r="AD131">
        <v>914</v>
      </c>
      <c r="AE131">
        <v>914</v>
      </c>
      <c r="AF131">
        <v>914</v>
      </c>
      <c r="AG131">
        <v>914</v>
      </c>
      <c r="AH131">
        <v>914</v>
      </c>
      <c r="AI131">
        <v>914</v>
      </c>
      <c r="AJ131">
        <v>914</v>
      </c>
      <c r="AK131">
        <v>914</v>
      </c>
      <c r="AL131">
        <v>914</v>
      </c>
      <c r="AM131">
        <v>914</v>
      </c>
      <c r="AN131">
        <v>914</v>
      </c>
      <c r="AO131">
        <v>914</v>
      </c>
      <c r="AP131">
        <v>914</v>
      </c>
      <c r="AQ131">
        <v>914</v>
      </c>
      <c r="AR131">
        <v>914</v>
      </c>
      <c r="AS131">
        <v>914</v>
      </c>
      <c r="AT131">
        <v>914</v>
      </c>
      <c r="AU131">
        <v>914</v>
      </c>
      <c r="AV131">
        <v>914</v>
      </c>
      <c r="AW131">
        <v>914</v>
      </c>
      <c r="AX131">
        <v>914</v>
      </c>
      <c r="AY131">
        <v>914</v>
      </c>
      <c r="AZ131">
        <v>914</v>
      </c>
      <c r="BA131">
        <v>914</v>
      </c>
      <c r="BB131">
        <v>914</v>
      </c>
      <c r="BC131">
        <v>914</v>
      </c>
      <c r="BD131">
        <v>914</v>
      </c>
      <c r="BE131">
        <v>914</v>
      </c>
      <c r="BF131">
        <v>914</v>
      </c>
      <c r="BG131">
        <v>914</v>
      </c>
      <c r="BH131">
        <v>914</v>
      </c>
      <c r="BI131">
        <v>914</v>
      </c>
      <c r="BJ131">
        <v>914</v>
      </c>
    </row>
    <row r="132" spans="1:62" x14ac:dyDescent="0.25">
      <c r="A132">
        <v>922</v>
      </c>
      <c r="B132">
        <v>922</v>
      </c>
      <c r="C132">
        <v>922</v>
      </c>
      <c r="D132">
        <v>922</v>
      </c>
      <c r="E132">
        <v>922</v>
      </c>
      <c r="F132">
        <v>922</v>
      </c>
      <c r="G132">
        <v>922</v>
      </c>
      <c r="H132">
        <v>922</v>
      </c>
      <c r="I132">
        <v>922</v>
      </c>
      <c r="J132">
        <v>922</v>
      </c>
      <c r="K132">
        <v>922</v>
      </c>
      <c r="L132">
        <v>922</v>
      </c>
      <c r="M132">
        <v>922</v>
      </c>
      <c r="N132">
        <v>922</v>
      </c>
      <c r="O132">
        <v>922</v>
      </c>
      <c r="P132">
        <v>922</v>
      </c>
      <c r="Q132">
        <v>922</v>
      </c>
      <c r="R132">
        <v>922</v>
      </c>
      <c r="S132">
        <v>922</v>
      </c>
      <c r="T132">
        <v>922</v>
      </c>
      <c r="U132">
        <v>922</v>
      </c>
      <c r="V132">
        <v>922</v>
      </c>
      <c r="W132">
        <v>922</v>
      </c>
      <c r="X132">
        <v>922</v>
      </c>
      <c r="Y132">
        <v>922</v>
      </c>
      <c r="Z132">
        <v>922</v>
      </c>
      <c r="AA132">
        <v>922</v>
      </c>
      <c r="AB132">
        <v>922</v>
      </c>
      <c r="AC132">
        <v>922</v>
      </c>
      <c r="AD132">
        <v>922</v>
      </c>
      <c r="AE132">
        <v>922</v>
      </c>
      <c r="AF132">
        <v>922</v>
      </c>
      <c r="AG132">
        <v>922</v>
      </c>
      <c r="AH132">
        <v>922</v>
      </c>
      <c r="AI132">
        <v>922</v>
      </c>
      <c r="AJ132">
        <v>922</v>
      </c>
      <c r="AK132">
        <v>922</v>
      </c>
      <c r="AL132">
        <v>922</v>
      </c>
      <c r="AM132">
        <v>922</v>
      </c>
      <c r="AN132">
        <v>922</v>
      </c>
      <c r="AO132">
        <v>922</v>
      </c>
      <c r="AP132">
        <v>922</v>
      </c>
      <c r="AQ132">
        <v>922</v>
      </c>
      <c r="AR132">
        <v>922</v>
      </c>
      <c r="AS132">
        <v>922</v>
      </c>
      <c r="AT132">
        <v>922</v>
      </c>
      <c r="AU132">
        <v>922</v>
      </c>
      <c r="AV132">
        <v>922</v>
      </c>
      <c r="AW132">
        <v>922</v>
      </c>
      <c r="AX132">
        <v>922</v>
      </c>
      <c r="AY132">
        <v>922</v>
      </c>
      <c r="AZ132">
        <v>922</v>
      </c>
      <c r="BA132">
        <v>922</v>
      </c>
      <c r="BB132">
        <v>922</v>
      </c>
      <c r="BC132">
        <v>922</v>
      </c>
      <c r="BD132">
        <v>922</v>
      </c>
      <c r="BE132">
        <v>922</v>
      </c>
      <c r="BF132">
        <v>922</v>
      </c>
      <c r="BG132">
        <v>922</v>
      </c>
      <c r="BH132">
        <v>922</v>
      </c>
      <c r="BI132">
        <v>922</v>
      </c>
      <c r="BJ132">
        <v>922</v>
      </c>
    </row>
    <row r="133" spans="1:62" x14ac:dyDescent="0.25">
      <c r="A133">
        <v>917.77</v>
      </c>
      <c r="B133">
        <v>918.88</v>
      </c>
      <c r="C133">
        <v>917.94</v>
      </c>
      <c r="D133">
        <v>919</v>
      </c>
      <c r="E133">
        <v>918.3</v>
      </c>
      <c r="F133">
        <v>918.2</v>
      </c>
      <c r="G133">
        <v>918.7</v>
      </c>
      <c r="H133">
        <v>918.6</v>
      </c>
      <c r="I133">
        <v>918.2</v>
      </c>
      <c r="J133">
        <v>918.21</v>
      </c>
      <c r="K133">
        <v>918.91</v>
      </c>
      <c r="L133">
        <v>919.08</v>
      </c>
      <c r="M133">
        <v>918.79</v>
      </c>
      <c r="N133">
        <v>917.96</v>
      </c>
      <c r="O133">
        <v>918.54</v>
      </c>
      <c r="P133">
        <v>918.82</v>
      </c>
      <c r="Q133">
        <v>919.4</v>
      </c>
      <c r="R133">
        <v>918.53</v>
      </c>
      <c r="S133">
        <v>918.2</v>
      </c>
      <c r="T133">
        <v>919.3</v>
      </c>
      <c r="U133">
        <v>919</v>
      </c>
      <c r="V133">
        <v>917.89</v>
      </c>
      <c r="W133">
        <v>918.3</v>
      </c>
      <c r="X133">
        <v>918.7</v>
      </c>
      <c r="Y133">
        <v>918.2</v>
      </c>
      <c r="Z133">
        <v>918.85</v>
      </c>
      <c r="AA133">
        <v>918.49</v>
      </c>
      <c r="AB133">
        <v>917.83</v>
      </c>
      <c r="AC133">
        <v>919.21</v>
      </c>
      <c r="AD133">
        <v>919.03</v>
      </c>
      <c r="AE133">
        <v>918.67</v>
      </c>
      <c r="AF133">
        <v>918.78</v>
      </c>
      <c r="AG133">
        <v>918.41</v>
      </c>
      <c r="AH133">
        <v>918.8</v>
      </c>
      <c r="AI133">
        <v>918.5</v>
      </c>
      <c r="AJ133">
        <v>918.8</v>
      </c>
      <c r="AK133">
        <v>918.59</v>
      </c>
      <c r="AL133">
        <v>918.56</v>
      </c>
      <c r="AM133">
        <v>918.21</v>
      </c>
      <c r="AN133">
        <v>918.23</v>
      </c>
      <c r="AO133">
        <v>918.05</v>
      </c>
      <c r="AP133">
        <v>917.5</v>
      </c>
      <c r="AQ133">
        <v>918.21</v>
      </c>
      <c r="AR133">
        <v>918.07</v>
      </c>
      <c r="AS133">
        <v>918.77</v>
      </c>
      <c r="AT133">
        <v>918.2</v>
      </c>
      <c r="AU133">
        <v>918.58</v>
      </c>
      <c r="AV133">
        <v>918.6</v>
      </c>
      <c r="AW133">
        <v>919.61</v>
      </c>
      <c r="AX133">
        <v>918.12</v>
      </c>
      <c r="AY133">
        <v>917.95</v>
      </c>
      <c r="AZ133">
        <v>918.46</v>
      </c>
      <c r="BA133">
        <v>918.54</v>
      </c>
      <c r="BB133">
        <v>919.11</v>
      </c>
      <c r="BC133">
        <v>918.4</v>
      </c>
      <c r="BD133">
        <v>918.44</v>
      </c>
      <c r="BE133">
        <v>919.89</v>
      </c>
      <c r="BF133">
        <v>918.99</v>
      </c>
      <c r="BG133">
        <v>918.24</v>
      </c>
      <c r="BH133">
        <v>917.91</v>
      </c>
      <c r="BI133">
        <v>918.21</v>
      </c>
      <c r="BJ133">
        <v>918.86</v>
      </c>
    </row>
    <row r="134" spans="1:62" x14ac:dyDescent="0.25">
      <c r="A134" t="s">
        <v>29</v>
      </c>
      <c r="B134" t="s">
        <v>30</v>
      </c>
      <c r="C134" t="s">
        <v>53</v>
      </c>
      <c r="D134" t="s">
        <v>54</v>
      </c>
      <c r="E134" t="s">
        <v>71</v>
      </c>
      <c r="F134" t="s">
        <v>72</v>
      </c>
      <c r="G134" t="s">
        <v>23</v>
      </c>
      <c r="H134">
        <v>62</v>
      </c>
    </row>
    <row r="135" spans="1:62" x14ac:dyDescent="0.25">
      <c r="A135" s="3">
        <v>46169</v>
      </c>
      <c r="B135" s="3">
        <v>46169</v>
      </c>
      <c r="C135" s="3">
        <v>46169</v>
      </c>
      <c r="D135" s="3">
        <v>46169</v>
      </c>
      <c r="E135" s="3">
        <v>46170</v>
      </c>
      <c r="F135" s="3">
        <v>46170</v>
      </c>
      <c r="G135" s="3">
        <v>46171</v>
      </c>
      <c r="H135" s="3">
        <v>46171</v>
      </c>
      <c r="I135" s="3">
        <v>46171</v>
      </c>
      <c r="J135" s="3">
        <v>46171</v>
      </c>
      <c r="K135" s="3">
        <v>46172</v>
      </c>
      <c r="L135" s="3">
        <v>46172</v>
      </c>
      <c r="M135" s="3">
        <v>46172</v>
      </c>
      <c r="N135" s="3">
        <v>46174</v>
      </c>
      <c r="O135" s="3">
        <v>46174</v>
      </c>
      <c r="P135" s="3">
        <v>46174</v>
      </c>
      <c r="Q135" s="3">
        <v>46174</v>
      </c>
      <c r="R135" s="3">
        <v>46175</v>
      </c>
      <c r="S135" s="3">
        <v>46175</v>
      </c>
      <c r="T135" s="3">
        <v>46175</v>
      </c>
      <c r="U135" s="3">
        <v>46176</v>
      </c>
      <c r="V135" s="3">
        <v>46176</v>
      </c>
      <c r="W135" s="3">
        <v>46176</v>
      </c>
      <c r="X135" s="3">
        <v>46176</v>
      </c>
      <c r="Y135" s="3">
        <v>46176</v>
      </c>
      <c r="Z135" s="3">
        <v>46176</v>
      </c>
      <c r="AA135" s="3">
        <v>46176</v>
      </c>
      <c r="AB135" s="3">
        <v>46177</v>
      </c>
      <c r="AC135" s="3">
        <v>46178</v>
      </c>
      <c r="AD135" s="3">
        <v>46178</v>
      </c>
      <c r="AE135" s="3">
        <v>46178</v>
      </c>
      <c r="AF135" s="3">
        <v>46179</v>
      </c>
      <c r="AG135" s="3">
        <v>46180</v>
      </c>
      <c r="AH135" s="3">
        <v>46180</v>
      </c>
      <c r="AI135" s="3">
        <v>46180</v>
      </c>
      <c r="AJ135" s="3">
        <v>46180</v>
      </c>
      <c r="AK135" s="3">
        <v>46181</v>
      </c>
      <c r="AL135" s="3">
        <v>46181</v>
      </c>
      <c r="AM135" s="3">
        <v>46181</v>
      </c>
      <c r="AN135" s="3">
        <v>46181</v>
      </c>
      <c r="AO135" s="3">
        <v>46181</v>
      </c>
      <c r="AP135" s="3">
        <v>46182</v>
      </c>
      <c r="AQ135" s="3">
        <v>46182</v>
      </c>
      <c r="AR135" s="3">
        <v>46182</v>
      </c>
      <c r="AS135" s="3">
        <v>46182</v>
      </c>
      <c r="AT135" s="3">
        <v>46182</v>
      </c>
      <c r="AU135" s="3">
        <v>46183</v>
      </c>
      <c r="AV135" s="3">
        <v>46183</v>
      </c>
      <c r="AW135" s="3">
        <v>46183</v>
      </c>
      <c r="AX135" s="3">
        <v>46183</v>
      </c>
      <c r="AY135" s="3">
        <v>46183</v>
      </c>
      <c r="AZ135" s="3">
        <v>46184</v>
      </c>
      <c r="BA135" s="3">
        <v>46184</v>
      </c>
      <c r="BB135" s="3">
        <v>46184</v>
      </c>
      <c r="BC135" s="3">
        <v>46184</v>
      </c>
      <c r="BD135" s="3">
        <v>46184</v>
      </c>
      <c r="BE135" s="3">
        <v>46185</v>
      </c>
      <c r="BF135" s="3">
        <v>46185</v>
      </c>
      <c r="BG135" s="3">
        <v>46185</v>
      </c>
      <c r="BH135" s="3">
        <v>46185</v>
      </c>
      <c r="BI135" s="3">
        <v>46186</v>
      </c>
      <c r="BJ135" s="3">
        <v>46186</v>
      </c>
    </row>
    <row r="136" spans="1:62" x14ac:dyDescent="0.25">
      <c r="A136">
        <v>816948</v>
      </c>
      <c r="B136">
        <v>816987</v>
      </c>
      <c r="C136">
        <v>816998</v>
      </c>
      <c r="D136">
        <v>817092</v>
      </c>
      <c r="E136">
        <v>817353</v>
      </c>
      <c r="F136">
        <v>817441</v>
      </c>
      <c r="G136">
        <v>817773</v>
      </c>
      <c r="H136">
        <v>817861</v>
      </c>
      <c r="I136">
        <v>817943</v>
      </c>
      <c r="J136">
        <v>817985</v>
      </c>
      <c r="K136">
        <v>818214</v>
      </c>
      <c r="L136">
        <v>818254</v>
      </c>
      <c r="M136">
        <v>818291</v>
      </c>
      <c r="N136">
        <v>818439</v>
      </c>
      <c r="O136">
        <v>818580</v>
      </c>
      <c r="P136">
        <v>818627</v>
      </c>
      <c r="Q136">
        <v>818667</v>
      </c>
      <c r="R136">
        <v>818839</v>
      </c>
      <c r="S136">
        <v>818934</v>
      </c>
      <c r="T136">
        <v>819019</v>
      </c>
      <c r="U136">
        <v>819103</v>
      </c>
      <c r="V136">
        <v>819271</v>
      </c>
      <c r="W136">
        <v>819315</v>
      </c>
      <c r="X136">
        <v>819370</v>
      </c>
      <c r="Y136">
        <v>819445</v>
      </c>
      <c r="Z136">
        <v>819491</v>
      </c>
      <c r="AA136">
        <v>819533</v>
      </c>
      <c r="AB136">
        <v>819706</v>
      </c>
      <c r="AC136">
        <v>819995</v>
      </c>
      <c r="AD136">
        <v>820041</v>
      </c>
      <c r="AE136">
        <v>820088</v>
      </c>
      <c r="AF136">
        <v>820271</v>
      </c>
      <c r="AG136">
        <v>820495</v>
      </c>
      <c r="AH136">
        <v>820568</v>
      </c>
      <c r="AI136">
        <v>820630</v>
      </c>
      <c r="AJ136">
        <v>820670</v>
      </c>
      <c r="AK136">
        <v>820873</v>
      </c>
      <c r="AL136">
        <v>820921</v>
      </c>
      <c r="AM136">
        <v>820957</v>
      </c>
      <c r="AN136">
        <v>821024</v>
      </c>
      <c r="AO136">
        <v>821060</v>
      </c>
      <c r="AP136">
        <v>821288</v>
      </c>
      <c r="AQ136">
        <v>821319</v>
      </c>
      <c r="AR136">
        <v>821356</v>
      </c>
      <c r="AS136">
        <v>821451</v>
      </c>
      <c r="AT136">
        <v>821500</v>
      </c>
      <c r="AU136">
        <v>821710</v>
      </c>
      <c r="AV136">
        <v>821754</v>
      </c>
      <c r="AW136">
        <v>821805</v>
      </c>
      <c r="AX136">
        <v>821885</v>
      </c>
      <c r="AY136">
        <v>821931</v>
      </c>
      <c r="AZ136">
        <v>822143</v>
      </c>
      <c r="BA136">
        <v>822185</v>
      </c>
      <c r="BB136">
        <v>822236</v>
      </c>
      <c r="BC136">
        <v>822306</v>
      </c>
      <c r="BD136">
        <v>822352</v>
      </c>
      <c r="BE136">
        <v>822558</v>
      </c>
      <c r="BF136">
        <v>822647</v>
      </c>
      <c r="BG136">
        <v>822737</v>
      </c>
      <c r="BH136">
        <v>822777</v>
      </c>
      <c r="BI136">
        <v>823003</v>
      </c>
      <c r="BJ136">
        <v>823082</v>
      </c>
    </row>
    <row r="137" spans="1:62" x14ac:dyDescent="0.25">
      <c r="A137">
        <v>919.2</v>
      </c>
      <c r="B137">
        <v>919.2</v>
      </c>
      <c r="C137">
        <v>919.2</v>
      </c>
      <c r="D137">
        <v>919.2</v>
      </c>
      <c r="E137">
        <v>919.2</v>
      </c>
      <c r="F137">
        <v>919.2</v>
      </c>
      <c r="G137">
        <v>919.2</v>
      </c>
      <c r="H137">
        <v>919.2</v>
      </c>
      <c r="I137">
        <v>919.2</v>
      </c>
      <c r="J137">
        <v>919.2</v>
      </c>
      <c r="K137">
        <v>919.2</v>
      </c>
      <c r="L137">
        <v>919.2</v>
      </c>
      <c r="M137">
        <v>919.2</v>
      </c>
      <c r="N137">
        <v>919.2</v>
      </c>
      <c r="O137">
        <v>919.2</v>
      </c>
      <c r="P137">
        <v>919.2</v>
      </c>
      <c r="Q137">
        <v>919.2</v>
      </c>
      <c r="R137">
        <v>919.2</v>
      </c>
      <c r="S137">
        <v>919.2</v>
      </c>
      <c r="T137">
        <v>919.2</v>
      </c>
      <c r="U137">
        <v>919.2</v>
      </c>
      <c r="V137">
        <v>919.2</v>
      </c>
      <c r="W137">
        <v>919.2</v>
      </c>
      <c r="X137">
        <v>919.2</v>
      </c>
      <c r="Y137">
        <v>919.2</v>
      </c>
      <c r="Z137">
        <v>919.2</v>
      </c>
      <c r="AA137">
        <v>919.2</v>
      </c>
      <c r="AB137">
        <v>919.2</v>
      </c>
      <c r="AC137">
        <v>919.2</v>
      </c>
      <c r="AD137">
        <v>919.2</v>
      </c>
      <c r="AE137">
        <v>919.2</v>
      </c>
      <c r="AF137">
        <v>919.2</v>
      </c>
      <c r="AG137">
        <v>919.2</v>
      </c>
      <c r="AH137">
        <v>919.2</v>
      </c>
      <c r="AI137">
        <v>919.2</v>
      </c>
      <c r="AJ137">
        <v>919.2</v>
      </c>
      <c r="AK137">
        <v>919.2</v>
      </c>
      <c r="AL137">
        <v>919.2</v>
      </c>
      <c r="AM137">
        <v>919.2</v>
      </c>
      <c r="AN137">
        <v>919.2</v>
      </c>
      <c r="AO137">
        <v>919.2</v>
      </c>
      <c r="AP137">
        <v>919.2</v>
      </c>
      <c r="AQ137">
        <v>919.2</v>
      </c>
      <c r="AR137">
        <v>919.2</v>
      </c>
      <c r="AS137">
        <v>919.2</v>
      </c>
      <c r="AT137">
        <v>919.2</v>
      </c>
      <c r="AU137">
        <v>919.2</v>
      </c>
      <c r="AV137">
        <v>919.2</v>
      </c>
      <c r="AW137">
        <v>919.2</v>
      </c>
      <c r="AX137">
        <v>919.2</v>
      </c>
      <c r="AY137">
        <v>919.2</v>
      </c>
      <c r="AZ137">
        <v>919.2</v>
      </c>
      <c r="BA137">
        <v>919.2</v>
      </c>
      <c r="BB137">
        <v>919.2</v>
      </c>
      <c r="BC137">
        <v>919.2</v>
      </c>
      <c r="BD137">
        <v>919.2</v>
      </c>
      <c r="BE137">
        <v>919.2</v>
      </c>
      <c r="BF137">
        <v>919.2</v>
      </c>
      <c r="BG137">
        <v>919.2</v>
      </c>
      <c r="BH137">
        <v>919.2</v>
      </c>
      <c r="BI137">
        <v>919.2</v>
      </c>
      <c r="BJ137">
        <v>919.2</v>
      </c>
    </row>
    <row r="138" spans="1:62" x14ac:dyDescent="0.25">
      <c r="A138">
        <v>915.2</v>
      </c>
      <c r="B138">
        <v>915.2</v>
      </c>
      <c r="C138">
        <v>915.2</v>
      </c>
      <c r="D138">
        <v>915.2</v>
      </c>
      <c r="E138">
        <v>915.2</v>
      </c>
      <c r="F138">
        <v>915.2</v>
      </c>
      <c r="G138">
        <v>915.2</v>
      </c>
      <c r="H138">
        <v>915.2</v>
      </c>
      <c r="I138">
        <v>915.2</v>
      </c>
      <c r="J138">
        <v>915.2</v>
      </c>
      <c r="K138">
        <v>915.2</v>
      </c>
      <c r="L138">
        <v>915.2</v>
      </c>
      <c r="M138">
        <v>915.2</v>
      </c>
      <c r="N138">
        <v>915.2</v>
      </c>
      <c r="O138">
        <v>915.2</v>
      </c>
      <c r="P138">
        <v>915.2</v>
      </c>
      <c r="Q138">
        <v>915.2</v>
      </c>
      <c r="R138">
        <v>915.2</v>
      </c>
      <c r="S138">
        <v>915.2</v>
      </c>
      <c r="T138">
        <v>915.2</v>
      </c>
      <c r="U138">
        <v>915.2</v>
      </c>
      <c r="V138">
        <v>915.2</v>
      </c>
      <c r="W138">
        <v>915.2</v>
      </c>
      <c r="X138">
        <v>915.2</v>
      </c>
      <c r="Y138">
        <v>915.2</v>
      </c>
      <c r="Z138">
        <v>915.2</v>
      </c>
      <c r="AA138">
        <v>915.2</v>
      </c>
      <c r="AB138">
        <v>915.2</v>
      </c>
      <c r="AC138">
        <v>915.2</v>
      </c>
      <c r="AD138">
        <v>915.2</v>
      </c>
      <c r="AE138">
        <v>915.2</v>
      </c>
      <c r="AF138">
        <v>915.2</v>
      </c>
      <c r="AG138">
        <v>915.2</v>
      </c>
      <c r="AH138">
        <v>915.2</v>
      </c>
      <c r="AI138">
        <v>915.2</v>
      </c>
      <c r="AJ138">
        <v>915.2</v>
      </c>
      <c r="AK138">
        <v>915.2</v>
      </c>
      <c r="AL138">
        <v>915.2</v>
      </c>
      <c r="AM138">
        <v>915.2</v>
      </c>
      <c r="AN138">
        <v>915.2</v>
      </c>
      <c r="AO138">
        <v>915.2</v>
      </c>
      <c r="AP138">
        <v>915.2</v>
      </c>
      <c r="AQ138">
        <v>915.2</v>
      </c>
      <c r="AR138">
        <v>915.2</v>
      </c>
      <c r="AS138">
        <v>915.2</v>
      </c>
      <c r="AT138">
        <v>915.2</v>
      </c>
      <c r="AU138">
        <v>915.2</v>
      </c>
      <c r="AV138">
        <v>915.2</v>
      </c>
      <c r="AW138">
        <v>915.2</v>
      </c>
      <c r="AX138">
        <v>915.2</v>
      </c>
      <c r="AY138">
        <v>915.2</v>
      </c>
      <c r="AZ138">
        <v>915.2</v>
      </c>
      <c r="BA138">
        <v>915.2</v>
      </c>
      <c r="BB138">
        <v>915.2</v>
      </c>
      <c r="BC138">
        <v>915.2</v>
      </c>
      <c r="BD138">
        <v>915.2</v>
      </c>
      <c r="BE138">
        <v>915.2</v>
      </c>
      <c r="BF138">
        <v>915.2</v>
      </c>
      <c r="BG138">
        <v>915.2</v>
      </c>
      <c r="BH138">
        <v>915.2</v>
      </c>
      <c r="BI138">
        <v>915.2</v>
      </c>
      <c r="BJ138">
        <v>915.2</v>
      </c>
    </row>
    <row r="139" spans="1:62" x14ac:dyDescent="0.25">
      <c r="A139">
        <v>923.2</v>
      </c>
      <c r="B139">
        <v>923.2</v>
      </c>
      <c r="C139">
        <v>923.2</v>
      </c>
      <c r="D139">
        <v>923.2</v>
      </c>
      <c r="E139">
        <v>923.2</v>
      </c>
      <c r="F139">
        <v>923.2</v>
      </c>
      <c r="G139">
        <v>923.2</v>
      </c>
      <c r="H139">
        <v>923.2</v>
      </c>
      <c r="I139">
        <v>923.2</v>
      </c>
      <c r="J139">
        <v>923.2</v>
      </c>
      <c r="K139">
        <v>923.2</v>
      </c>
      <c r="L139">
        <v>923.2</v>
      </c>
      <c r="M139">
        <v>923.2</v>
      </c>
      <c r="N139">
        <v>923.2</v>
      </c>
      <c r="O139">
        <v>923.2</v>
      </c>
      <c r="P139">
        <v>923.2</v>
      </c>
      <c r="Q139">
        <v>923.2</v>
      </c>
      <c r="R139">
        <v>923.2</v>
      </c>
      <c r="S139">
        <v>923.2</v>
      </c>
      <c r="T139">
        <v>923.2</v>
      </c>
      <c r="U139">
        <v>923.2</v>
      </c>
      <c r="V139">
        <v>923.2</v>
      </c>
      <c r="W139">
        <v>923.2</v>
      </c>
      <c r="X139">
        <v>923.2</v>
      </c>
      <c r="Y139">
        <v>923.2</v>
      </c>
      <c r="Z139">
        <v>923.2</v>
      </c>
      <c r="AA139">
        <v>923.2</v>
      </c>
      <c r="AB139">
        <v>923.2</v>
      </c>
      <c r="AC139">
        <v>923.2</v>
      </c>
      <c r="AD139">
        <v>923.2</v>
      </c>
      <c r="AE139">
        <v>923.2</v>
      </c>
      <c r="AF139">
        <v>923.2</v>
      </c>
      <c r="AG139">
        <v>923.2</v>
      </c>
      <c r="AH139">
        <v>923.2</v>
      </c>
      <c r="AI139">
        <v>923.2</v>
      </c>
      <c r="AJ139">
        <v>923.2</v>
      </c>
      <c r="AK139">
        <v>923.2</v>
      </c>
      <c r="AL139">
        <v>923.2</v>
      </c>
      <c r="AM139">
        <v>923.2</v>
      </c>
      <c r="AN139">
        <v>923.2</v>
      </c>
      <c r="AO139">
        <v>923.2</v>
      </c>
      <c r="AP139">
        <v>923.2</v>
      </c>
      <c r="AQ139">
        <v>923.2</v>
      </c>
      <c r="AR139">
        <v>923.2</v>
      </c>
      <c r="AS139">
        <v>923.2</v>
      </c>
      <c r="AT139">
        <v>923.2</v>
      </c>
      <c r="AU139">
        <v>923.2</v>
      </c>
      <c r="AV139">
        <v>923.2</v>
      </c>
      <c r="AW139">
        <v>923.2</v>
      </c>
      <c r="AX139">
        <v>923.2</v>
      </c>
      <c r="AY139">
        <v>923.2</v>
      </c>
      <c r="AZ139">
        <v>923.2</v>
      </c>
      <c r="BA139">
        <v>923.2</v>
      </c>
      <c r="BB139">
        <v>923.2</v>
      </c>
      <c r="BC139">
        <v>923.2</v>
      </c>
      <c r="BD139">
        <v>923.2</v>
      </c>
      <c r="BE139">
        <v>923.2</v>
      </c>
      <c r="BF139">
        <v>923.2</v>
      </c>
      <c r="BG139">
        <v>923.2</v>
      </c>
      <c r="BH139">
        <v>923.2</v>
      </c>
      <c r="BI139">
        <v>923.2</v>
      </c>
      <c r="BJ139">
        <v>923.2</v>
      </c>
    </row>
    <row r="140" spans="1:62" x14ac:dyDescent="0.25">
      <c r="A140">
        <v>920.19</v>
      </c>
      <c r="B140">
        <v>919.36</v>
      </c>
      <c r="C140">
        <v>920.29</v>
      </c>
      <c r="D140">
        <v>919.3</v>
      </c>
      <c r="E140">
        <v>920.5</v>
      </c>
      <c r="F140">
        <v>919.8</v>
      </c>
      <c r="G140">
        <v>920.6</v>
      </c>
      <c r="H140">
        <v>919.7</v>
      </c>
      <c r="I140">
        <v>920.7</v>
      </c>
      <c r="J140">
        <v>920.91</v>
      </c>
      <c r="K140">
        <v>919.45</v>
      </c>
      <c r="L140">
        <v>919.23</v>
      </c>
      <c r="M140">
        <v>919.29</v>
      </c>
      <c r="N140">
        <v>920.55</v>
      </c>
      <c r="O140">
        <v>919.52</v>
      </c>
      <c r="P140">
        <v>920.16</v>
      </c>
      <c r="Q140">
        <v>919.22</v>
      </c>
      <c r="R140">
        <v>919.57</v>
      </c>
      <c r="S140">
        <v>920.7</v>
      </c>
      <c r="T140">
        <v>919.2</v>
      </c>
      <c r="U140">
        <v>920.4</v>
      </c>
      <c r="V140">
        <v>919.87</v>
      </c>
      <c r="W140">
        <v>920.6</v>
      </c>
      <c r="X140">
        <v>920.8</v>
      </c>
      <c r="Y140">
        <v>920.6</v>
      </c>
      <c r="Z140">
        <v>919.77</v>
      </c>
      <c r="AA140">
        <v>920.74</v>
      </c>
      <c r="AB140">
        <v>920.72</v>
      </c>
      <c r="AC140">
        <v>921.13</v>
      </c>
      <c r="AD140">
        <v>921.23</v>
      </c>
      <c r="AE140">
        <v>920.37</v>
      </c>
      <c r="AF140">
        <v>919.93</v>
      </c>
      <c r="AG140">
        <v>920.77</v>
      </c>
      <c r="AH140">
        <v>920.31</v>
      </c>
      <c r="AI140">
        <v>920.2</v>
      </c>
      <c r="AJ140">
        <v>921.11</v>
      </c>
      <c r="AK140">
        <v>920.98</v>
      </c>
      <c r="AL140">
        <v>920.16</v>
      </c>
      <c r="AM140">
        <v>920.31</v>
      </c>
      <c r="AN140">
        <v>920.67</v>
      </c>
      <c r="AO140">
        <v>920.62</v>
      </c>
      <c r="AP140">
        <v>922.21</v>
      </c>
      <c r="AQ140">
        <v>921.34</v>
      </c>
      <c r="AR140">
        <v>921.7</v>
      </c>
      <c r="AS140">
        <v>920.53</v>
      </c>
      <c r="AT140">
        <v>920.55</v>
      </c>
      <c r="AU140">
        <v>920.65</v>
      </c>
      <c r="AV140">
        <v>920.2</v>
      </c>
      <c r="AW140">
        <v>920.6</v>
      </c>
      <c r="AX140">
        <v>921.02</v>
      </c>
      <c r="AY140">
        <v>920.82</v>
      </c>
      <c r="AZ140">
        <v>921.14</v>
      </c>
      <c r="BA140">
        <v>921.29</v>
      </c>
      <c r="BB140">
        <v>920.53</v>
      </c>
      <c r="BC140">
        <v>920.21</v>
      </c>
      <c r="BD140">
        <v>921.09</v>
      </c>
      <c r="BE140">
        <v>920.03</v>
      </c>
      <c r="BF140">
        <v>921.01</v>
      </c>
      <c r="BG140">
        <v>921.25</v>
      </c>
      <c r="BH140">
        <v>922.55</v>
      </c>
      <c r="BI140">
        <v>921.14</v>
      </c>
      <c r="BJ140">
        <v>919.85</v>
      </c>
    </row>
    <row r="141" spans="1:62" x14ac:dyDescent="0.25">
      <c r="A141" t="s">
        <v>29</v>
      </c>
      <c r="B141" t="s">
        <v>30</v>
      </c>
      <c r="C141" t="s">
        <v>53</v>
      </c>
      <c r="D141" t="s">
        <v>54</v>
      </c>
      <c r="E141" t="s">
        <v>73</v>
      </c>
      <c r="F141" t="s">
        <v>74</v>
      </c>
      <c r="G141" t="s">
        <v>24</v>
      </c>
      <c r="H14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Hexagon</dc:creator>
  <cp:lastModifiedBy>Hexagon</cp:lastModifiedBy>
  <cp:lastPrinted>2026-04-21T10:00:50Z</cp:lastPrinted>
  <dcterms:created xsi:type="dcterms:W3CDTF">2006-09-16T00:00:00Z</dcterms:created>
  <dcterms:modified xsi:type="dcterms:W3CDTF">2026-06-15T15:46:00Z</dcterms:modified>
</cp:coreProperties>
</file>